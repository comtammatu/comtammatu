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ccd0909a8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" sheetId="1" r:id="R4d74e2494ff9487c"/>
    <x:sheet xmlns:r="http://schemas.openxmlformats.org/officeDocument/2006/relationships" name="Thành phẩm" sheetId="2" r:id="R368c465c0e9f4de5"/>
    <x:sheet xmlns:r="http://schemas.openxmlformats.org/officeDocument/2006/relationships" name="Công thức" sheetId="3" r:id="R3b0b5981ed29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"/>
    <x:numFmt numFmtId="201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23F3A"/>
      <x:name val="Carlito"/>
    </x:font>
    <x:font>
      <x:sz val="11"/>
      <x:color rgb="FF173B36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123F3A"/>
      <x:name val="Aptos"/>
    </x:font>
    <x:font>
      <x:sz val="10"/>
      <x:color rgb="FF173B3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3D38"/>
      </x:patternFill>
    </x:fill>
    <x:fill>
      <x:patternFill patternType="solid">
        <x:fgColor rgb="FFE8F3F1"/>
      </x:patternFill>
    </x:fill>
    <x:fill>
      <x:patternFill patternType="solid">
        <x:fgColor rgb="FFF5FAF8"/>
      </x:patternFill>
    </x:fill>
    <x:fill>
      <x:patternFill patternType="solid">
        <x:fgColor rgb="FF14534D"/>
      </x:patternFill>
    </x:fill>
  </x:fills>
  <x:borders count="11">
    <x:border/>
    <x:border>
      <x:left style="thin">
        <x:color rgb="FFD9E7E3"/>
      </x:left>
      <x:right style="thin">
        <x:color rgb="FFD9E7E3"/>
      </x:right>
      <x:top style="thin">
        <x:color rgb="FFD9E7E3"/>
      </x:top>
      <x:bottom style="thin">
        <x:color rgb="FFD9E7E3"/>
      </x:bottom>
    </x:border>
    <x:border>
      <x:right style="thin">
        <x:color rgb="FFE8EFED"/>
      </x:right>
      <x:bottom style="thin">
        <x:color rgb="FFDDE7E4"/>
      </x:bottom>
    </x:border>
    <x:border>
      <x:left style="thin">
        <x:color rgb="FFE8EFED"/>
      </x:left>
      <x:right style="thin">
        <x:color rgb="FFE8EFED"/>
      </x:right>
      <x:bottom style="thin">
        <x:color rgb="FFDDE7E4"/>
      </x:bottom>
    </x:border>
    <x:border>
      <x:left style="thin">
        <x:color rgb="FFE8EFED"/>
      </x:left>
      <x:bottom style="thin">
        <x:color rgb="FFDDE7E4"/>
      </x:bottom>
    </x:border>
    <x:border>
      <x:right style="thin">
        <x:color rgb="FFE8EFED"/>
      </x:right>
      <x:top style="thin">
        <x:color rgb="FFDDE7E4"/>
      </x:top>
      <x:bottom style="thin">
        <x:color rgb="FFDDE7E4"/>
      </x:bottom>
    </x:border>
    <x:border>
      <x:left style="thin">
        <x:color rgb="FFE8EFED"/>
      </x:left>
      <x:right style="thin">
        <x:color rgb="FFE8EFED"/>
      </x:right>
      <x:top style="thin">
        <x:color rgb="FFDDE7E4"/>
      </x:top>
      <x:bottom style="thin">
        <x:color rgb="FFDDE7E4"/>
      </x:bottom>
    </x:border>
    <x:border>
      <x:left style="thin">
        <x:color rgb="FFE8EFED"/>
      </x:left>
      <x:top style="thin">
        <x:color rgb="FFDDE7E4"/>
      </x:top>
      <x:bottom style="thin">
        <x:color rgb="FFDDE7E4"/>
      </x:bottom>
    </x:border>
    <x:border>
      <x:right style="thin">
        <x:color rgb="FFE8EFED"/>
      </x:right>
      <x:top style="thin">
        <x:color rgb="FFDDE7E4"/>
      </x:top>
      <x:bottom style="thin">
        <x:color rgb="FFB8CCC7"/>
      </x:bottom>
    </x:border>
    <x:border>
      <x:left style="thin">
        <x:color rgb="FFE8EFED"/>
      </x:left>
      <x:right style="thin">
        <x:color rgb="FFE8EFED"/>
      </x:right>
      <x:top style="thin">
        <x:color rgb="FFDDE7E4"/>
      </x:top>
      <x:bottom style="thin">
        <x:color rgb="FFB8CCC7"/>
      </x:bottom>
    </x:border>
    <x:border>
      <x:left style="thin">
        <x:color rgb="FFE8EFED"/>
      </x:left>
      <x:top style="thin">
        <x:color rgb="FFDDE7E4"/>
      </x:top>
      <x:bottom style="thin">
        <x:color rgb="FFB8CCC7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1" fontId="8" fillId="4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200" fontId="6" fillId="0" borderId="6" xfId="0" applyNumberFormat="1" applyFont="1" applyFill="1" applyBorder="1"/>
    <x:xf numFmtId="201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200" fontId="6" fillId="0" borderId="9" xfId="0" applyNumberFormat="1" applyFont="1" applyFill="1" applyBorder="1"/>
    <x:xf numFmtId="201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1" fontId="8" fillId="4" borderId="1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A1C1C"/>
      </x:font>
      <x:fill>
        <x:patternFill patternType="solid">
          <x:bgColor rgb="FFFDECEC"/>
        </x:patternFill>
      </x:fill>
    </x:dxf>
    <x:dxf>
      <x:font>
        <x:color rgb="FF704A00"/>
      </x:font>
      <x:fill>
        <x:patternFill patternType="solid">
          <x:bgColor rgb="FFFFF6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ca770b3914aa0" /><Relationship Type="http://schemas.openxmlformats.org/officeDocument/2006/relationships/theme" Target="/xl/theme/theme1.xml" Id="Re0ae8214da7b406a" /><Relationship Type="http://schemas.openxmlformats.org/officeDocument/2006/relationships/sharedStrings" Target="/xl/sharedStrings.xml" Id="Rbb677bcdcd0e43c5" /><Relationship Type="http://schemas.openxmlformats.org/officeDocument/2006/relationships/worksheet" Target="/xl/worksheets/sheet1.xml" Id="R4d74e2494ff9487c" /><Relationship Type="http://schemas.openxmlformats.org/officeDocument/2006/relationships/worksheet" Target="/xl/worksheets/sheet2.xml" Id="R368c465c0e9f4de5" /><Relationship Type="http://schemas.openxmlformats.org/officeDocument/2006/relationships/worksheet" Target="/xl/worksheets/sheet3.xml" Id="R3b0b5981ed294f2b" /></Relationships>
</file>

<file path=xl/tables/table1.xml><?xml version="1.0" encoding="utf-8"?>
<x:table xmlns:x="http://schemas.openxmlformats.org/spreadsheetml/2006/main" id="1" name="TongInventoryTable" displayName="TongInventoryTable" ref="A6:U113" headerRowCount="1" totalsRowCount="0" totalsRowShown="0">
  <x:autoFilter ref="A6:U113"/>
  <x:tableColumns count="21">
    <x:tableColumn id="1" name="Mã"/>
    <x:tableColumn id="2" name="Tên"/>
    <x:tableColumn id="3" name="Loại"/>
    <x:tableColumn id="4" name="Danh mục"/>
    <x:tableColumn id="5" name="Phân loại"/>
    <x:tableColumn id="6" name="ĐVT gốc"/>
    <x:tableColumn id="7" name="ĐVT nhập"/>
    <x:tableColumn id="8" name="Quy đổi nhập -&gt; gốc"/>
    <x:tableColumn id="9" name="Giá vốn chuẩn"/>
    <x:tableColumn id="10" name="Tồn lot"/>
    <x:tableColumn id="11" name="Giá trị lot"/>
    <x:tableColumn id="12" name="WAG hiện tại"/>
    <x:tableColumn id="13" name="Giá trị tồn"/>
    <x:tableColumn id="14" name="Tồn movement"/>
    <x:tableColumn id="15" name="Lệch movement-lot"/>
    <x:tableColumn id="16" name="Min stock"/>
    <x:tableColumn id="17" name="Thiếu so với min"/>
    <x:tableColumn id="18" name="Active"/>
    <x:tableColumn id="19" name="Quy đổi ĐVT"/>
    <x:tableColumn id="20" name="Trạng thái lot"/>
    <x:tableColumn id="21" name="Cập nhật tồn cuố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anhPhamMenuTable" displayName="ThanhPhamMenuTable" ref="A6:J26" headerRowCount="1" totalsRowCount="0" totalsRowShown="0">
  <x:autoFilter ref="A6:J26"/>
  <x:tableColumns count="10">
    <x:tableColumn id="1" name="Mã món"/>
    <x:tableColumn id="2" name="Tên món"/>
    <x:tableColumn id="3" name="Danh mục thực đơn"/>
    <x:tableColumn id="4" name="Giá bán"/>
    <x:tableColumn id="5" name="Active"/>
    <x:tableColumn id="6" name="Recipe tiêu hao"/>
    <x:tableColumn id="7" name="Số dòng tiêu hao"/>
    <x:tableColumn id="8" name="Recipe active"/>
    <x:tableColumn id="9" name="Recipe ID"/>
    <x:tableColumn id="10" name="Ghi chú gắn tiêu h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gThucProductionTable" displayName="CongThucProductionTable" ref="A6:S108" headerRowCount="1" totalsRowCount="0" totalsRowShown="0">
  <x:autoFilter ref="A6:S108"/>
  <x:tableColumns count="19">
    <x:tableColumn id="1" name="Công thức"/>
    <x:tableColumn id="2" name="Active"/>
    <x:tableColumn id="3" name="Mã TP"/>
    <x:tableColumn id="4" name="Thành phẩm output"/>
    <x:tableColumn id="5" name="Sản lượng"/>
    <x:tableColumn id="6" name="ĐVT output"/>
    <x:tableColumn id="7" name="Mã NL"/>
    <x:tableColumn id="8" name="Nguyên liệu"/>
    <x:tableColumn id="9" name="Danh mục NL"/>
    <x:tableColumn id="10" name="Số lượng"/>
    <x:tableColumn id="11" name="ĐVT NL"/>
    <x:tableColumn id="12" name="WAG NL"/>
    <x:tableColumn id="13" name="Giá trị tiêu hao"/>
    <x:tableColumn id="14" name="Tổng giá trị công thức"/>
    <x:tableColumn id="15" name="Giá vốn output/ĐVT"/>
    <x:tableColumn id="16" name="Lần SX cuối"/>
    <x:tableColumn id="17" name="Ghi chú"/>
    <x:tableColumn id="18" name="Recipe ID"/>
    <x:tableColumn id="19" name="Material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e7404b006843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dc323b8da7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fc40f2fedc4c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0" hidden="0" customWidth="1"/>
    <x:col min="4" max="4" width="18" hidden="0" customWidth="1"/>
    <x:col min="5" max="5" width="26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5" hidden="0" customWidth="1"/>
    <x:col min="14" max="14" width="13" hidden="0" customWidth="1"/>
    <x:col min="15" max="15" width="15" hidden="0" customWidth="1"/>
    <x:col min="16" max="16" width="11" hidden="0" customWidth="1"/>
    <x:col min="17" max="17" width="13" hidden="0" customWidth="1"/>
    <x:col min="18" max="18" width="9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>
      <x:c r="A1" s="30" t="str">
        <x:v>Tổng tồn kho Má Tư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</x:row>
    <x:row r="2">
      <x:c r="A2" s="49" t="str">
        <x:v>Nguồn: Supabase matu-prod (dyksphedgzqsqjqgxzog), snapshot 2026-07-01T10:30:40.435Z. Chỉ đọc dữ liệu public inventory/menu/recipe.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</x:row>
    <x:row r="3">
      <x:c r="A3" s="50" t="str">
        <x:v>Tenant</x:v>
      </x:c>
      <x:c r="B3" s="50" t="str">
        <x:v>Cơm tấm Má Tư</x:v>
      </x:c>
      <x:c r="C3" s="50" t="str">
        <x:v>Chi nhánh</x:v>
      </x:c>
      <x:c r="D3" s="50" t="n">
        <x:v>2</x:v>
      </x:c>
      <x:c r="E3" s="50" t="str">
        <x:v>Kho</x:v>
      </x:c>
      <x:c r="F3" s="50" t="n">
        <x:v>7</x:v>
      </x:c>
      <x:c r="G3" s="50" t="str"/>
      <x:c r="H3" s="50"/>
      <x:c r="I3" s="50" t="str">
        <x:v>Tổng giá trị tồn</x:v>
      </x:c>
      <x:c r="J3" s="51" t="n">
        <x:f>SUM(M7:M113)</x:f>
        <x:v>674719692.3098265</x:v>
      </x:c>
      <x:c r="K3" s="51" t="str">
        <x:v>Số vật tư còn tồn</x:v>
      </x:c>
      <x:c r="L3" s="51" t="n">
        <x:f>COUNTIF(J7:J113,"&gt;0")</x:f>
        <x:v>98</x:v>
      </x:c>
      <x:c r="M3" s="51" t="str">
        <x:v>Số vật tư dưới min</x:v>
      </x:c>
      <x:c r="N3" s="51" t="n">
        <x:f>COUNTIF(Q7:Q113,"&gt;0")</x:f>
        <x:v>3</x:v>
      </x:c>
      <x:c r="O3" s="50" t="str">
        <x:v>ĐVT hệ thống</x:v>
      </x:c>
      <x:c r="P3" s="50" t="str">
        <x:v>kg, g, lit, ml, piece, portion, qua, trai, lon, chai, hop, goi, tui, thung, bao, loc, ket, khay, bo, hu</x:v>
      </x:c>
      <x:c r="Q3" s="50" t="str"/>
      <x:c r="R3" s="50" t="str"/>
      <x:c r="S3" s="50" t="str"/>
      <x:c r="T3" s="50" t="str"/>
      <x:c r="U3" s="50" t="str"/>
    </x:row>
    <x:row r="4">
      <x:c r="A4" s="50" t="str">
        <x:v>Vật tư</x:v>
      </x:c>
      <x:c r="B4" s="50" t="n">
        <x:v>107</x:v>
      </x:c>
      <x:c r="C4" s="50" t="str">
        <x:v>Lot</x:v>
      </x:c>
      <x:c r="D4" s="50" t="n">
        <x:v>808</x:v>
      </x:c>
      <x:c r="E4" s="50" t="str">
        <x:v>Movement</x:v>
      </x:c>
      <x:c r="F4" s="50" t="n">
        <x:v>6414</x:v>
      </x:c>
      <x:c r="G4" s="50" t="str"/>
      <x:c r="H4" s="50"/>
      <x:c r="I4" s="50" t="str"/>
      <x:c r="J4" s="50" t="str"/>
      <x:c r="K4" s="50" t="str"/>
      <x:c r="L4" s="50" t="str"/>
      <x:c r="M4" s="50" t="str"/>
      <x:c r="N4" s="50" t="str"/>
      <x:c r="O4" s="50" t="str"/>
      <x:c r="P4" s="50" t="str"/>
      <x:c r="Q4" s="50" t="str"/>
      <x:c r="R4" s="50" t="str"/>
      <x:c r="S4" s="50" t="str"/>
      <x:c r="T4" s="50" t="str"/>
      <x:c r="U4" s="50" t="str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</x:row>
    <x:row r="6">
      <x:c r="A6" s="35" t="str">
        <x:v>Mã</x:v>
      </x:c>
      <x:c r="B6" s="36" t="str">
        <x:v>Tên</x:v>
      </x:c>
      <x:c r="C6" s="36" t="str">
        <x:v>Loại</x:v>
      </x:c>
      <x:c r="D6" s="36" t="str">
        <x:v>Danh mục</x:v>
      </x:c>
      <x:c r="E6" s="36" t="str">
        <x:v>Phân loại</x:v>
      </x:c>
      <x:c r="F6" s="36" t="str">
        <x:v>ĐVT gốc</x:v>
      </x:c>
      <x:c r="G6" s="36" t="str">
        <x:v>ĐVT nhập</x:v>
      </x:c>
      <x:c r="H6" s="36" t="str">
        <x:v>Quy đổi nhập -&gt; gốc</x:v>
      </x:c>
      <x:c r="I6" s="36" t="str">
        <x:v>Giá vốn chuẩn</x:v>
      </x:c>
      <x:c r="J6" s="36" t="str">
        <x:v>Tồn lot</x:v>
      </x:c>
      <x:c r="K6" s="36" t="str">
        <x:v>Giá trị lot</x:v>
      </x:c>
      <x:c r="L6" s="36" t="str">
        <x:v>WAG hiện tại</x:v>
      </x:c>
      <x:c r="M6" s="36" t="str">
        <x:v>Giá trị tồn</x:v>
      </x:c>
      <x:c r="N6" s="36" t="str">
        <x:v>Tồn movement</x:v>
      </x:c>
      <x:c r="O6" s="36" t="str">
        <x:v>Lệch movement-lot</x:v>
      </x:c>
      <x:c r="P6" s="36" t="str">
        <x:v>Min stock</x:v>
      </x:c>
      <x:c r="Q6" s="36" t="str">
        <x:v>Thiếu so với min</x:v>
      </x:c>
      <x:c r="R6" s="36" t="str">
        <x:v>Active</x:v>
      </x:c>
      <x:c r="S6" s="36" t="str">
        <x:v>Quy đổi ĐVT</x:v>
      </x:c>
      <x:c r="T6" s="36" t="str">
        <x:v>Trạng thái lot</x:v>
      </x:c>
      <x:c r="U6" s="37" t="str">
        <x:v>Cập nhật tồn cuối</x:v>
      </x:c>
    </x:row>
    <x:row r="7">
      <x:c r="A7" s="52" t="str">
        <x:v>B001</x:v>
      </x:c>
      <x:c r="B7" s="53" t="str">
        <x:v>Bọc 1</x:v>
      </x:c>
      <x:c r="C7" s="53" t="str">
        <x:v>Nguyên liệu</x:v>
      </x:c>
      <x:c r="D7" s="53" t="str">
        <x:v>Bọc</x:v>
      </x:c>
      <x:c r="E7" s="53" t="str">
        <x:v>raw / active</x:v>
      </x:c>
      <x:c r="F7" s="53" t="str">
        <x:v>kg</x:v>
      </x:c>
      <x:c r="G7" s="53" t="str">
        <x:v>kg</x:v>
      </x:c>
      <x:c r="H7" s="54" t="n">
        <x:v>1</x:v>
      </x:c>
      <x:c r="I7" s="55" t="n">
        <x:v>49000</x:v>
      </x:c>
      <x:c r="J7" s="55" t="n">
        <x:v>12</x:v>
      </x:c>
      <x:c r="K7" s="55" t="n">
        <x:v>588000</x:v>
      </x:c>
      <x:c r="L7" s="55" t="n">
        <x:f>IF(J7&gt;0,K7/J7,I7)</x:f>
        <x:v>49000</x:v>
      </x:c>
      <x:c r="M7" s="55" t="n">
        <x:f>J7*L7</x:f>
        <x:v>588000</x:v>
      </x:c>
      <x:c r="N7" s="54" t="n">
        <x:v>12</x:v>
      </x:c>
      <x:c r="O7" s="54" t="n">
        <x:f>N7-J7</x:f>
        <x:v>0</x:v>
      </x:c>
      <x:c r="P7" s="54" t="n">
        <x:v>0</x:v>
      </x:c>
      <x:c r="Q7" s="54" t="n">
        <x:f>MAX(0,P7-J7)</x:f>
        <x:v>0</x:v>
      </x:c>
      <x:c r="R7" s="53" t="str">
        <x:v>Có</x:v>
      </x:c>
      <x:c r="S7" s="53" t="str">
        <x:v>1 kg = 1 kg</x:v>
      </x:c>
      <x:c r="T7" s="53" t="str">
        <x:v>active:3</x:v>
      </x:c>
      <x:c r="U7" s="56" t="str">
        <x:v>2026-06-30 14:58:05</x:v>
      </x:c>
    </x:row>
    <x:row r="8">
      <x:c r="A8" s="52" t="str">
        <x:v>B002</x:v>
      </x:c>
      <x:c r="B8" s="53" t="str">
        <x:v>Bọc 2</x:v>
      </x:c>
      <x:c r="C8" s="53" t="str">
        <x:v>Nguyên liệu</x:v>
      </x:c>
      <x:c r="D8" s="53" t="str">
        <x:v>Bọc</x:v>
      </x:c>
      <x:c r="E8" s="53" t="str">
        <x:v>raw / active</x:v>
      </x:c>
      <x:c r="F8" s="53" t="str">
        <x:v>kg</x:v>
      </x:c>
      <x:c r="G8" s="53" t="str">
        <x:v>kg</x:v>
      </x:c>
      <x:c r="H8" s="54" t="n">
        <x:v>1</x:v>
      </x:c>
      <x:c r="I8" s="55" t="n">
        <x:v>49000</x:v>
      </x:c>
      <x:c r="J8" s="55" t="n">
        <x:v>7</x:v>
      </x:c>
      <x:c r="K8" s="55" t="n">
        <x:v>343000</x:v>
      </x:c>
      <x:c r="L8" s="55" t="n">
        <x:f>IF(J8&gt;0,K8/J8,I8)</x:f>
        <x:v>49000</x:v>
      </x:c>
      <x:c r="M8" s="55" t="n">
        <x:f>J8*L8</x:f>
        <x:v>343000</x:v>
      </x:c>
      <x:c r="N8" s="54" t="n">
        <x:v>7</x:v>
      </x:c>
      <x:c r="O8" s="54" t="n">
        <x:f>N8-J8</x:f>
        <x:v>0</x:v>
      </x:c>
      <x:c r="P8" s="54" t="n">
        <x:v>0</x:v>
      </x:c>
      <x:c r="Q8" s="54" t="n">
        <x:f>MAX(0,P8-J8)</x:f>
        <x:v>0</x:v>
      </x:c>
      <x:c r="R8" s="53" t="str">
        <x:v>Có</x:v>
      </x:c>
      <x:c r="S8" s="53" t="str">
        <x:v>1 kg = 1 kg</x:v>
      </x:c>
      <x:c r="T8" s="53" t="str">
        <x:v>active:2</x:v>
      </x:c>
      <x:c r="U8" s="56" t="str">
        <x:v>2026-06-30 14:58:05</x:v>
      </x:c>
    </x:row>
    <x:row r="9">
      <x:c r="A9" s="52" t="str">
        <x:v>B003</x:v>
      </x:c>
      <x:c r="B9" s="53" t="str">
        <x:v>Bọc 3</x:v>
      </x:c>
      <x:c r="C9" s="53" t="str">
        <x:v>Nguyên liệu</x:v>
      </x:c>
      <x:c r="D9" s="53" t="str">
        <x:v>Bọc</x:v>
      </x:c>
      <x:c r="E9" s="53" t="str">
        <x:v>raw / active</x:v>
      </x:c>
      <x:c r="F9" s="53" t="str">
        <x:v>kg</x:v>
      </x:c>
      <x:c r="G9" s="53" t="str">
        <x:v>kg</x:v>
      </x:c>
      <x:c r="H9" s="54" t="n">
        <x:v>1</x:v>
      </x:c>
      <x:c r="I9" s="55" t="n">
        <x:v>49000</x:v>
      </x:c>
      <x:c r="J9" s="55" t="n">
        <x:v>7</x:v>
      </x:c>
      <x:c r="K9" s="55" t="n">
        <x:v>343000</x:v>
      </x:c>
      <x:c r="L9" s="55" t="n">
        <x:f>IF(J9&gt;0,K9/J9,I9)</x:f>
        <x:v>49000</x:v>
      </x:c>
      <x:c r="M9" s="55" t="n">
        <x:f>J9*L9</x:f>
        <x:v>343000</x:v>
      </x:c>
      <x:c r="N9" s="54" t="n">
        <x:v>7</x:v>
      </x:c>
      <x:c r="O9" s="54" t="n">
        <x:f>N9-J9</x:f>
        <x:v>0</x:v>
      </x:c>
      <x:c r="P9" s="54" t="n">
        <x:v>0</x:v>
      </x:c>
      <x:c r="Q9" s="54" t="n">
        <x:f>MAX(0,P9-J9)</x:f>
        <x:v>0</x:v>
      </x:c>
      <x:c r="R9" s="53" t="str">
        <x:v>Có</x:v>
      </x:c>
      <x:c r="S9" s="53" t="str">
        <x:v>1 kg = 1 kg</x:v>
      </x:c>
      <x:c r="T9" s="53" t="str">
        <x:v>active:2</x:v>
      </x:c>
      <x:c r="U9" s="56" t="str">
        <x:v>2026-06-30 14:58:05</x:v>
      </x:c>
    </x:row>
    <x:row r="10">
      <x:c r="A10" s="52" t="str">
        <x:v>B004</x:v>
      </x:c>
      <x:c r="B10" s="53" t="str">
        <x:v>Bao tay nilon</x:v>
      </x:c>
      <x:c r="C10" s="53" t="str">
        <x:v>Nguyên liệu</x:v>
      </x:c>
      <x:c r="D10" s="53" t="str">
        <x:v>Bọc</x:v>
      </x:c>
      <x:c r="E10" s="53" t="str">
        <x:v>raw / active</x:v>
      </x:c>
      <x:c r="F10" s="53" t="str">
        <x:v>kg</x:v>
      </x:c>
      <x:c r="G10" s="53" t="str">
        <x:v>kg</x:v>
      </x:c>
      <x:c r="H10" s="54" t="n">
        <x:v>1</x:v>
      </x:c>
      <x:c r="I10" s="55" t="n">
        <x:v>58000</x:v>
      </x:c>
      <x:c r="J10" s="55" t="n">
        <x:v>7</x:v>
      </x:c>
      <x:c r="K10" s="55" t="n">
        <x:v>406000</x:v>
      </x:c>
      <x:c r="L10" s="55" t="n">
        <x:f>IF(J10&gt;0,K10/J10,I10)</x:f>
        <x:v>58000</x:v>
      </x:c>
      <x:c r="M10" s="55" t="n">
        <x:f>J10*L10</x:f>
        <x:v>406000</x:v>
      </x:c>
      <x:c r="N10" s="54" t="n">
        <x:v>7</x:v>
      </x:c>
      <x:c r="O10" s="54" t="n">
        <x:f>N10-J10</x:f>
        <x:v>0</x:v>
      </x:c>
      <x:c r="P10" s="54" t="n">
        <x:v>0</x:v>
      </x:c>
      <x:c r="Q10" s="54" t="n">
        <x:f>MAX(0,P10-J10)</x:f>
        <x:v>0</x:v>
      </x:c>
      <x:c r="R10" s="53" t="str">
        <x:v>Có</x:v>
      </x:c>
      <x:c r="S10" s="53" t="str">
        <x:v>1 kg = 1 kg</x:v>
      </x:c>
      <x:c r="T10" s="53" t="str">
        <x:v>active:2</x:v>
      </x:c>
      <x:c r="U10" s="56" t="str">
        <x:v>2026-06-30 14:56:10</x:v>
      </x:c>
    </x:row>
    <x:row r="11">
      <x:c r="A11" s="52" t="str">
        <x:v>B005</x:v>
      </x:c>
      <x:c r="B11" s="53" t="str">
        <x:v>Bọc 5</x:v>
      </x:c>
      <x:c r="C11" s="53" t="str">
        <x:v>Nguyên liệu</x:v>
      </x:c>
      <x:c r="D11" s="53" t="str">
        <x:v>Bọc</x:v>
      </x:c>
      <x:c r="E11" s="53" t="str">
        <x:v>raw / active</x:v>
      </x:c>
      <x:c r="F11" s="53" t="str">
        <x:v>kg</x:v>
      </x:c>
      <x:c r="G11" s="53" t="str">
        <x:v>kg</x:v>
      </x:c>
      <x:c r="H11" s="54" t="n">
        <x:v>1</x:v>
      </x:c>
      <x:c r="I11" s="55" t="n">
        <x:v>49000</x:v>
      </x:c>
      <x:c r="J11" s="55" t="n">
        <x:v>5</x:v>
      </x:c>
      <x:c r="K11" s="55" t="n">
        <x:v>245000</x:v>
      </x:c>
      <x:c r="L11" s="55" t="n">
        <x:f>IF(J11&gt;0,K11/J11,I11)</x:f>
        <x:v>49000</x:v>
      </x:c>
      <x:c r="M11" s="55" t="n">
        <x:f>J11*L11</x:f>
        <x:v>245000</x:v>
      </x:c>
      <x:c r="N11" s="54" t="n">
        <x:v>5</x:v>
      </x:c>
      <x:c r="O11" s="54" t="n">
        <x:f>N11-J11</x:f>
        <x:v>0</x:v>
      </x:c>
      <x:c r="P11" s="54" t="n">
        <x:v>0</x:v>
      </x:c>
      <x:c r="Q11" s="54" t="n">
        <x:f>MAX(0,P11-J11)</x:f>
        <x:v>0</x:v>
      </x:c>
      <x:c r="R11" s="53" t="str">
        <x:v>Có</x:v>
      </x:c>
      <x:c r="S11" s="53" t="str">
        <x:v>1 kg = 1 kg</x:v>
      </x:c>
      <x:c r="T11" s="53" t="str">
        <x:v>active:2</x:v>
      </x:c>
      <x:c r="U11" s="56" t="str">
        <x:v>2026-06-08 02:49:49</x:v>
      </x:c>
    </x:row>
    <x:row r="12">
      <x:c r="A12" s="52" t="str">
        <x:v>BC22</x:v>
      </x:c>
      <x:c r="B12" s="53" t="str">
        <x:v>Bọc hút chân không</x:v>
      </x:c>
      <x:c r="C12" s="53" t="str">
        <x:v>Nguyên liệu</x:v>
      </x:c>
      <x:c r="D12" s="53" t="str">
        <x:v>Bọc</x:v>
      </x:c>
      <x:c r="E12" s="53" t="str">
        <x:v>raw / active</x:v>
      </x:c>
      <x:c r="F12" s="53" t="str">
        <x:v>kg</x:v>
      </x:c>
      <x:c r="G12" s="53" t="str">
        <x:v>kg</x:v>
      </x:c>
      <x:c r="H12" s="54" t="n">
        <x:v>1</x:v>
      </x:c>
      <x:c r="I12" s="55" t="n">
        <x:v>30000</x:v>
      </x:c>
      <x:c r="J12" s="55" t="n">
        <x:v>11</x:v>
      </x:c>
      <x:c r="K12" s="55" t="n">
        <x:v>330000</x:v>
      </x:c>
      <x:c r="L12" s="55" t="n">
        <x:f>IF(J12&gt;0,K12/J12,I12)</x:f>
        <x:v>30000</x:v>
      </x:c>
      <x:c r="M12" s="55" t="n">
        <x:f>J12*L12</x:f>
        <x:v>330000</x:v>
      </x:c>
      <x:c r="N12" s="54" t="n">
        <x:v>11</x:v>
      </x:c>
      <x:c r="O12" s="54" t="n">
        <x:f>N12-J12</x:f>
        <x:v>0</x:v>
      </x:c>
      <x:c r="P12" s="54" t="n">
        <x:v>0</x:v>
      </x:c>
      <x:c r="Q12" s="54" t="n">
        <x:f>MAX(0,P12-J12)</x:f>
        <x:v>0</x:v>
      </x:c>
      <x:c r="R12" s="53" t="str">
        <x:v>Có</x:v>
      </x:c>
      <x:c r="S12" s="53" t="str">
        <x:v>1 kg = 1 kg</x:v>
      </x:c>
      <x:c r="T12" s="53" t="str">
        <x:v>active:2</x:v>
      </x:c>
      <x:c r="U12" s="56" t="str">
        <x:v>2026-06-11 10:46:40</x:v>
      </x:c>
    </x:row>
    <x:row r="13">
      <x:c r="A13" s="52" t="str">
        <x:v>CT01</x:v>
      </x:c>
      <x:c r="B13" s="53" t="str">
        <x:v>Cải Thảo</x:v>
      </x:c>
      <x:c r="C13" s="53" t="str">
        <x:v>Nguyên liệu</x:v>
      </x:c>
      <x:c r="D13" s="53" t="str">
        <x:v>Rau, củ</x:v>
      </x:c>
      <x:c r="E13" s="53" t="str">
        <x:v>raw / active</x:v>
      </x:c>
      <x:c r="F13" s="53" t="str">
        <x:v>kg</x:v>
      </x:c>
      <x:c r="G13" s="53" t="str">
        <x:v>kg</x:v>
      </x:c>
      <x:c r="H13" s="54" t="n">
        <x:v>1</x:v>
      </x:c>
      <x:c r="I13" s="55" t="n">
        <x:v>16970</x:v>
      </x:c>
      <x:c r="J13" s="55" t="n">
        <x:v>32.5</x:v>
      </x:c>
      <x:c r="K13" s="55" t="n">
        <x:v>521502</x:v>
      </x:c>
      <x:c r="L13" s="55" t="n">
        <x:f>IF(J13&gt;0,K13/J13,I13)</x:f>
        <x:v>16046.215384615385</x:v>
      </x:c>
      <x:c r="M13" s="55" t="n">
        <x:f>J13*L13</x:f>
        <x:v>521502</x:v>
      </x:c>
      <x:c r="N13" s="54" t="n">
        <x:v>32.5</x:v>
      </x:c>
      <x:c r="O13" s="54" t="n">
        <x:f>N13-J13</x:f>
        <x:v>0</x:v>
      </x:c>
      <x:c r="P13" s="54" t="n">
        <x:v>0</x:v>
      </x:c>
      <x:c r="Q13" s="54" t="n">
        <x:f>MAX(0,P13-J13)</x:f>
        <x:v>0</x:v>
      </x:c>
      <x:c r="R13" s="53" t="str">
        <x:v>Có</x:v>
      </x:c>
      <x:c r="S13" s="53" t="str">
        <x:v>1 kg = 1 kg</x:v>
      </x:c>
      <x:c r="T13" s="53" t="str">
        <x:v>active:6</x:v>
      </x:c>
      <x:c r="U13" s="56" t="str">
        <x:v>2026-06-29 02:38:51</x:v>
      </x:c>
    </x:row>
    <x:row r="14">
      <x:c r="A14" s="52" t="str">
        <x:v>D001</x:v>
      </x:c>
      <x:c r="B14" s="53" t="str">
        <x:v>Dầu ăn Tường An</x:v>
      </x:c>
      <x:c r="C14" s="53" t="str">
        <x:v>Nguyên liệu</x:v>
      </x:c>
      <x:c r="D14" s="53" t="str">
        <x:v>Dầu</x:v>
      </x:c>
      <x:c r="E14" s="53" t="str">
        <x:v>raw / active</x:v>
      </x:c>
      <x:c r="F14" s="53" t="str">
        <x:v>ml</x:v>
      </x:c>
      <x:c r="G14" s="53" t="str">
        <x:v>chai</x:v>
      </x:c>
      <x:c r="H14" s="54" t="n">
        <x:v>5000</x:v>
      </x:c>
      <x:c r="I14" s="55" t="n">
        <x:v>46.5</x:v>
      </x:c>
      <x:c r="J14" s="55" t="n">
        <x:v>55785</x:v>
      </x:c>
      <x:c r="K14" s="55" t="n">
        <x:v>2594002.5</x:v>
      </x:c>
      <x:c r="L14" s="55" t="n">
        <x:f>IF(J14&gt;0,K14/J14,I14)</x:f>
        <x:v>46.5</x:v>
      </x:c>
      <x:c r="M14" s="55" t="n">
        <x:f>J14*L14</x:f>
        <x:v>2594002.5</x:v>
      </x:c>
      <x:c r="N14" s="54" t="n">
        <x:v>55785</x:v>
      </x:c>
      <x:c r="O14" s="54" t="n">
        <x:f>N14-J14</x:f>
        <x:v>0</x:v>
      </x:c>
      <x:c r="P14" s="54" t="n">
        <x:v>0</x:v>
      </x:c>
      <x:c r="Q14" s="54" t="n">
        <x:f>MAX(0,P14-J14)</x:f>
        <x:v>0</x:v>
      </x:c>
      <x:c r="R14" s="53" t="str">
        <x:v>Có</x:v>
      </x:c>
      <x:c r="S14" s="53" t="str">
        <x:v>1 chai = 5000 ml</x:v>
      </x:c>
      <x:c r="T14" s="53" t="str">
        <x:v>active:1</x:v>
      </x:c>
      <x:c r="U14" s="56" t="str">
        <x:v>2026-06-30 01:58:34</x:v>
      </x:c>
    </x:row>
    <x:row r="15">
      <x:c r="A15" s="52" t="str">
        <x:v>D002</x:v>
      </x:c>
      <x:c r="B15" s="53" t="str">
        <x:v>Dầu điều VN Food</x:v>
      </x:c>
      <x:c r="C15" s="53" t="str">
        <x:v>Nguyên liệu</x:v>
      </x:c>
      <x:c r="D15" s="53" t="str">
        <x:v>Dầu</x:v>
      </x:c>
      <x:c r="E15" s="53" t="str">
        <x:v>raw / active</x:v>
      </x:c>
      <x:c r="F15" s="53" t="str">
        <x:v>ml</x:v>
      </x:c>
      <x:c r="G15" s="53" t="str">
        <x:v>chai</x:v>
      </x:c>
      <x:c r="H15" s="54" t="n">
        <x:v>250</x:v>
      </x:c>
      <x:c r="I15" s="55" t="n">
        <x:v>78.332</x:v>
      </x:c>
      <x:c r="J15" s="55" t="n">
        <x:v>21150</x:v>
      </x:c>
      <x:c r="K15" s="55" t="n">
        <x:v>1656721.7999999998</x:v>
      </x:c>
      <x:c r="L15" s="55" t="n">
        <x:f>IF(J15&gt;0,K15/J15,I15)</x:f>
        <x:v>78.332</x:v>
      </x:c>
      <x:c r="M15" s="55" t="n">
        <x:f>J15*L15</x:f>
        <x:v>1656721.7999999998</x:v>
      </x:c>
      <x:c r="N15" s="54" t="n">
        <x:v>21150</x:v>
      </x:c>
      <x:c r="O15" s="54" t="n">
        <x:f>N15-J15</x:f>
        <x:v>0</x:v>
      </x:c>
      <x:c r="P15" s="54" t="n">
        <x:v>0</x:v>
      </x:c>
      <x:c r="Q15" s="54" t="n">
        <x:f>MAX(0,P15-J15)</x:f>
        <x:v>0</x:v>
      </x:c>
      <x:c r="R15" s="53" t="str">
        <x:v>Có</x:v>
      </x:c>
      <x:c r="S15" s="53" t="str">
        <x:v>1 chai = 250 ml</x:v>
      </x:c>
      <x:c r="T15" s="53" t="str">
        <x:v>active:2</x:v>
      </x:c>
      <x:c r="U15" s="56" t="str">
        <x:v>2026-06-30 11:43:00</x:v>
      </x:c>
    </x:row>
    <x:row r="16">
      <x:c r="A16" s="52" t="str">
        <x:v>D003</x:v>
      </x:c>
      <x:c r="B16" s="53" t="str">
        <x:v>Dầu mè Meizan</x:v>
      </x:c>
      <x:c r="C16" s="53" t="str">
        <x:v>Nguyên liệu</x:v>
      </x:c>
      <x:c r="D16" s="53" t="str">
        <x:v>Dầu</x:v>
      </x:c>
      <x:c r="E16" s="53" t="str">
        <x:v>raw / active</x:v>
      </x:c>
      <x:c r="F16" s="53" t="str">
        <x:v>ml</x:v>
      </x:c>
      <x:c r="G16" s="53" t="str">
        <x:v>chai</x:v>
      </x:c>
      <x:c r="H16" s="54" t="n">
        <x:v>250</x:v>
      </x:c>
      <x:c r="I16" s="55" t="n">
        <x:v>190</x:v>
      </x:c>
      <x:c r="J16" s="55" t="n">
        <x:v>15920</x:v>
      </x:c>
      <x:c r="K16" s="55" t="n">
        <x:v>3024800</x:v>
      </x:c>
      <x:c r="L16" s="55" t="n">
        <x:f>IF(J16&gt;0,K16/J16,I16)</x:f>
        <x:v>190</x:v>
      </x:c>
      <x:c r="M16" s="55" t="n">
        <x:f>J16*L16</x:f>
        <x:v>3024800</x:v>
      </x:c>
      <x:c r="N16" s="54" t="n">
        <x:v>15920</x:v>
      </x:c>
      <x:c r="O16" s="54" t="n">
        <x:f>N16-J16</x:f>
        <x:v>0</x:v>
      </x:c>
      <x:c r="P16" s="54" t="n">
        <x:v>0</x:v>
      </x:c>
      <x:c r="Q16" s="54" t="n">
        <x:f>MAX(0,P16-J16)</x:f>
        <x:v>0</x:v>
      </x:c>
      <x:c r="R16" s="53" t="str">
        <x:v>Có</x:v>
      </x:c>
      <x:c r="S16" s="53" t="str">
        <x:v>1 chai = 250 ml</x:v>
      </x:c>
      <x:c r="T16" s="53" t="str">
        <x:v>active:2</x:v>
      </x:c>
      <x:c r="U16" s="56" t="str">
        <x:v>2026-06-30 11:52:14</x:v>
      </x:c>
    </x:row>
    <x:row r="17">
      <x:c r="A17" s="52" t="str">
        <x:v>DA11</x:v>
      </x:c>
      <x:c r="B17" s="53" t="str">
        <x:v>Dầu ăn Cái Lân</x:v>
      </x:c>
      <x:c r="C17" s="53" t="str">
        <x:v>Nguyên liệu</x:v>
      </x:c>
      <x:c r="D17" s="53" t="str">
        <x:v>Dầu</x:v>
      </x:c>
      <x:c r="E17" s="53" t="str">
        <x:v>raw / active</x:v>
      </x:c>
      <x:c r="F17" s="53" t="str">
        <x:v>chai</x:v>
      </x:c>
      <x:c r="G17" s="53" t="str">
        <x:v>chai</x:v>
      </x:c>
      <x:c r="H17" s="54" t="n">
        <x:v>1</x:v>
      </x:c>
      <x:c r="I17" s="55" t="n">
        <x:v>200000</x:v>
      </x:c>
      <x:c r="J17" s="55" t="n">
        <x:v>20</x:v>
      </x:c>
      <x:c r="K17" s="55" t="n">
        <x:v>4000000</x:v>
      </x:c>
      <x:c r="L17" s="55" t="n">
        <x:f>IF(J17&gt;0,K17/J17,I17)</x:f>
        <x:v>200000</x:v>
      </x:c>
      <x:c r="M17" s="55" t="n">
        <x:f>J17*L17</x:f>
        <x:v>4000000</x:v>
      </x:c>
      <x:c r="N17" s="54" t="n">
        <x:v>20</x:v>
      </x:c>
      <x:c r="O17" s="54" t="n">
        <x:f>N17-J17</x:f>
        <x:v>0</x:v>
      </x:c>
      <x:c r="P17" s="54" t="n">
        <x:v>0</x:v>
      </x:c>
      <x:c r="Q17" s="54" t="n">
        <x:f>MAX(0,P17-J17)</x:f>
        <x:v>0</x:v>
      </x:c>
      <x:c r="R17" s="53" t="str">
        <x:v>Có</x:v>
      </x:c>
      <x:c r="S17" s="53" t="str">
        <x:v>1 chai = 1 chai</x:v>
      </x:c>
      <x:c r="T17" s="53" t="str">
        <x:v>active:3</x:v>
      </x:c>
      <x:c r="U17" s="56" t="str">
        <x:v>2026-06-29 13:22:32</x:v>
      </x:c>
    </x:row>
    <x:row r="18">
      <x:c r="A18" s="52" t="str">
        <x:v>G001</x:v>
      </x:c>
      <x:c r="B18" s="53" t="str">
        <x:v>Gạo Tấm Tài Nguyên</x:v>
      </x:c>
      <x:c r="C18" s="53" t="str">
        <x:v>Nguyên liệu</x:v>
      </x:c>
      <x:c r="D18" s="53" t="str">
        <x:v>Nguyên liệu</x:v>
      </x:c>
      <x:c r="E18" s="53" t="str">
        <x:v>raw / active</x:v>
      </x:c>
      <x:c r="F18" s="53" t="str">
        <x:v>kg</x:v>
      </x:c>
      <x:c r="G18" s="53" t="str">
        <x:v>kg</x:v>
      </x:c>
      <x:c r="H18" s="54" t="n">
        <x:v>1</x:v>
      </x:c>
      <x:c r="I18" s="55" t="n">
        <x:v>13000</x:v>
      </x:c>
      <x:c r="J18" s="55" t="n">
        <x:v>1099</x:v>
      </x:c>
      <x:c r="K18" s="55" t="n">
        <x:v>14543000</x:v>
      </x:c>
      <x:c r="L18" s="55" t="n">
        <x:f>IF(J18&gt;0,K18/J18,I18)</x:f>
        <x:v>13232.939035486806</x:v>
      </x:c>
      <x:c r="M18" s="55" t="n">
        <x:f>J18*L18</x:f>
        <x:v>14543000</x:v>
      </x:c>
      <x:c r="N18" s="54" t="n">
        <x:v>1099</x:v>
      </x:c>
      <x:c r="O18" s="54" t="n">
        <x:f>N18-J18</x:f>
        <x:v>0</x:v>
      </x:c>
      <x:c r="P18" s="54" t="n">
        <x:v>0</x:v>
      </x:c>
      <x:c r="Q18" s="54" t="n">
        <x:f>MAX(0,P18-J18)</x:f>
        <x:v>0</x:v>
      </x:c>
      <x:c r="R18" s="53" t="str">
        <x:v>Có</x:v>
      </x:c>
      <x:c r="S18" s="53" t="str">
        <x:v>1 kg = 1 kg</x:v>
      </x:c>
      <x:c r="T18" s="53" t="str">
        <x:v>active:10</x:v>
      </x:c>
      <x:c r="U18" s="56" t="str">
        <x:v>2026-06-30 12:09:12</x:v>
      </x:c>
    </x:row>
    <x:row r="19">
      <x:c r="A19" s="52" t="str">
        <x:v>GI01</x:v>
      </x:c>
      <x:c r="B19" s="53" t="str">
        <x:v>Giấy máy in</x:v>
      </x:c>
      <x:c r="C19" s="53" t="str">
        <x:v>Nguyên liệu</x:v>
      </x:c>
      <x:c r="D19" s="53" t="str"/>
      <x:c r="E19" s="53" t="str">
        <x:v>raw / active</x:v>
      </x:c>
      <x:c r="F19" s="53" t="str">
        <x:v>piece</x:v>
      </x:c>
      <x:c r="G19" s="53" t="str">
        <x:v>piece</x:v>
      </x:c>
      <x:c r="H19" s="54" t="n">
        <x:v>1</x:v>
      </x:c>
      <x:c r="I19" s="55" t="n">
        <x:v>9000</x:v>
      </x:c>
      <x:c r="J19" s="55" t="n">
        <x:v>90</x:v>
      </x:c>
      <x:c r="K19" s="55" t="n">
        <x:v>810000</x:v>
      </x:c>
      <x:c r="L19" s="55" t="n">
        <x:f>IF(J19&gt;0,K19/J19,I19)</x:f>
        <x:v>9000</x:v>
      </x:c>
      <x:c r="M19" s="55" t="n">
        <x:f>J19*L19</x:f>
        <x:v>810000</x:v>
      </x:c>
      <x:c r="N19" s="54" t="n">
        <x:v>90</x:v>
      </x:c>
      <x:c r="O19" s="54" t="n">
        <x:f>N19-J19</x:f>
        <x:v>0</x:v>
      </x:c>
      <x:c r="P19" s="54" t="n">
        <x:v>0</x:v>
      </x:c>
      <x:c r="Q19" s="54" t="n">
        <x:f>MAX(0,P19-J19)</x:f>
        <x:v>0</x:v>
      </x:c>
      <x:c r="R19" s="53" t="str">
        <x:v>Có</x:v>
      </x:c>
      <x:c r="S19" s="53" t="str">
        <x:v>1 piece = 1 piece</x:v>
      </x:c>
      <x:c r="T19" s="53" t="str">
        <x:v>active:2</x:v>
      </x:c>
      <x:c r="U19" s="56" t="str">
        <x:v>2026-06-22 01:34:40</x:v>
      </x:c>
    </x:row>
    <x:row r="20">
      <x:c r="A20" s="52" t="str">
        <x:v>GV01</x:v>
      </x:c>
      <x:c r="B20" s="53" t="str">
        <x:v>Sữa đặc Tài Lộc</x:v>
      </x:c>
      <x:c r="C20" s="53" t="str">
        <x:v>Nguyên liệu</x:v>
      </x:c>
      <x:c r="D20" s="53" t="str">
        <x:v>Nguyên liệu</x:v>
      </x:c>
      <x:c r="E20" s="53" t="str">
        <x:v>raw / active</x:v>
      </x:c>
      <x:c r="F20" s="53" t="str">
        <x:v>g</x:v>
      </x:c>
      <x:c r="G20" s="53" t="str">
        <x:v>hop</x:v>
      </x:c>
      <x:c r="H20" s="54" t="n">
        <x:v>1284</x:v>
      </x:c>
      <x:c r="I20" s="55" t="n">
        <x:v>35.695483</x:v>
      </x:c>
      <x:c r="J20" s="55" t="n">
        <x:v>88348</x:v>
      </x:c>
      <x:c r="K20" s="55" t="n">
        <x:v>3153624.5320840003</x:v>
      </x:c>
      <x:c r="L20" s="55" t="n">
        <x:f>IF(J20&gt;0,K20/J20,I20)</x:f>
        <x:v>35.695483</x:v>
      </x:c>
      <x:c r="M20" s="55" t="n">
        <x:f>J20*L20</x:f>
        <x:v>3153624.5320840003</x:v>
      </x:c>
      <x:c r="N20" s="54" t="n">
        <x:v>88348</x:v>
      </x:c>
      <x:c r="O20" s="54" t="n">
        <x:f>N20-J20</x:f>
        <x:v>0</x:v>
      </x:c>
      <x:c r="P20" s="54" t="n">
        <x:v>0</x:v>
      </x:c>
      <x:c r="Q20" s="54" t="n">
        <x:f>MAX(0,P20-J20)</x:f>
        <x:v>0</x:v>
      </x:c>
      <x:c r="R20" s="53" t="str">
        <x:v>Có</x:v>
      </x:c>
      <x:c r="S20" s="53" t="str">
        <x:v>1 hop = 1284 g</x:v>
      </x:c>
      <x:c r="T20" s="53" t="str">
        <x:v>active:1</x:v>
      </x:c>
      <x:c r="U20" s="56" t="str">
        <x:v>2026-06-30 11:41:39</x:v>
      </x:c>
    </x:row>
    <x:row r="21">
      <x:c r="A21" s="52" t="str">
        <x:v>GV02</x:v>
      </x:c>
      <x:c r="B21" s="53" t="str">
        <x:v>Mật ong Tây Bắc</x:v>
      </x:c>
      <x:c r="C21" s="53" t="str">
        <x:v>Nguyên liệu</x:v>
      </x:c>
      <x:c r="D21" s="53" t="str">
        <x:v>Nguyên liệu</x:v>
      </x:c>
      <x:c r="E21" s="53" t="str">
        <x:v>raw / active</x:v>
      </x:c>
      <x:c r="F21" s="53" t="str">
        <x:v>ml</x:v>
      </x:c>
      <x:c r="G21" s="53" t="str">
        <x:v>chai</x:v>
      </x:c>
      <x:c r="H21" s="54" t="n">
        <x:v>650</x:v>
      </x:c>
      <x:c r="I21" s="55" t="n">
        <x:v>76.923077</x:v>
      </x:c>
      <x:c r="J21" s="55" t="n">
        <x:v>61750</x:v>
      </x:c>
      <x:c r="K21" s="55" t="n">
        <x:v>4750000.00475</x:v>
      </x:c>
      <x:c r="L21" s="55" t="n">
        <x:f>IF(J21&gt;0,K21/J21,I21)</x:f>
        <x:v>76.923077</x:v>
      </x:c>
      <x:c r="M21" s="55" t="n">
        <x:f>J21*L21</x:f>
        <x:v>4750000.00475</x:v>
      </x:c>
      <x:c r="N21" s="54" t="n">
        <x:v>61750</x:v>
      </x:c>
      <x:c r="O21" s="54" t="n">
        <x:f>N21-J21</x:f>
        <x:v>0</x:v>
      </x:c>
      <x:c r="P21" s="54" t="n">
        <x:v>0</x:v>
      </x:c>
      <x:c r="Q21" s="54" t="n">
        <x:f>MAX(0,P21-J21)</x:f>
        <x:v>0</x:v>
      </x:c>
      <x:c r="R21" s="53" t="str">
        <x:v>Có</x:v>
      </x:c>
      <x:c r="S21" s="53" t="str">
        <x:v>1 chai = 650 ml</x:v>
      </x:c>
      <x:c r="T21" s="53" t="str">
        <x:v>active:1</x:v>
      </x:c>
      <x:c r="U21" s="56" t="str">
        <x:v>2026-06-30 02:04:12</x:v>
      </x:c>
    </x:row>
    <x:row r="22">
      <x:c r="A22" s="52" t="str">
        <x:v>GV03</x:v>
      </x:c>
      <x:c r="B22" s="53" t="str">
        <x:v>Mạch nha Phát Đạt</x:v>
      </x:c>
      <x:c r="C22" s="53" t="str">
        <x:v>Nguyên liệu</x:v>
      </x:c>
      <x:c r="D22" s="53" t="str">
        <x:v>Nguyên liệu</x:v>
      </x:c>
      <x:c r="E22" s="53" t="str">
        <x:v>raw / active</x:v>
      </x:c>
      <x:c r="F22" s="53" t="str">
        <x:v>g</x:v>
      </x:c>
      <x:c r="G22" s="53" t="str">
        <x:v>hop</x:v>
      </x:c>
      <x:c r="H22" s="54" t="n">
        <x:v>1000</x:v>
      </x:c>
      <x:c r="I22" s="55" t="n">
        <x:v>45</x:v>
      </x:c>
      <x:c r="J22" s="55" t="n">
        <x:v>33000</x:v>
      </x:c>
      <x:c r="K22" s="55" t="n">
        <x:v>1485000</x:v>
      </x:c>
      <x:c r="L22" s="55" t="n">
        <x:f>IF(J22&gt;0,K22/J22,I22)</x:f>
        <x:v>45</x:v>
      </x:c>
      <x:c r="M22" s="55" t="n">
        <x:f>J22*L22</x:f>
        <x:v>1485000</x:v>
      </x:c>
      <x:c r="N22" s="54" t="n">
        <x:v>33000</x:v>
      </x:c>
      <x:c r="O22" s="54" t="n">
        <x:f>N22-J22</x:f>
        <x:v>0</x:v>
      </x:c>
      <x:c r="P22" s="54" t="n">
        <x:v>0</x:v>
      </x:c>
      <x:c r="Q22" s="54" t="n">
        <x:f>MAX(0,P22-J22)</x:f>
        <x:v>0</x:v>
      </x:c>
      <x:c r="R22" s="53" t="str">
        <x:v>Có</x:v>
      </x:c>
      <x:c r="S22" s="53" t="str">
        <x:v>1 hop = 1000 g</x:v>
      </x:c>
      <x:c r="T22" s="53" t="str">
        <x:v>active:2</x:v>
      </x:c>
      <x:c r="U22" s="56" t="str">
        <x:v>2026-06-30 02:01:21</x:v>
      </x:c>
    </x:row>
    <x:row r="23">
      <x:c r="A23" s="52" t="str">
        <x:v>GV04</x:v>
      </x:c>
      <x:c r="B23" s="53" t="str">
        <x:v>Đường cát vàng Mỹ Tho</x:v>
      </x:c>
      <x:c r="C23" s="53" t="str">
        <x:v>Nguyên liệu</x:v>
      </x:c>
      <x:c r="D23" s="53" t="str">
        <x:v>Gia vị</x:v>
      </x:c>
      <x:c r="E23" s="53" t="str">
        <x:v>raw / active</x:v>
      </x:c>
      <x:c r="F23" s="53" t="str">
        <x:v>g</x:v>
      </x:c>
      <x:c r="G23" s="53" t="str">
        <x:v>kg</x:v>
      </x:c>
      <x:c r="H23" s="54" t="n">
        <x:v>1000</x:v>
      </x:c>
      <x:c r="I23" s="55" t="n">
        <x:v>21.667</x:v>
      </x:c>
      <x:c r="J23" s="55" t="n">
        <x:v>29281.333</x:v>
      </x:c>
      <x:c r="K23" s="55" t="n">
        <x:v>634438.642111</x:v>
      </x:c>
      <x:c r="L23" s="55" t="n">
        <x:f>IF(J23&gt;0,K23/J23,I23)</x:f>
        <x:v>21.667</x:v>
      </x:c>
      <x:c r="M23" s="55" t="n">
        <x:f>J23*L23</x:f>
        <x:v>634438.642111</x:v>
      </x:c>
      <x:c r="N23" s="54" t="n">
        <x:v>29281.333</x:v>
      </x:c>
      <x:c r="O23" s="54" t="n">
        <x:f>N23-J23</x:f>
        <x:v>0</x:v>
      </x:c>
      <x:c r="P23" s="54" t="n">
        <x:v>0</x:v>
      </x:c>
      <x:c r="Q23" s="54" t="n">
        <x:f>MAX(0,P23-J23)</x:f>
        <x:v>0</x:v>
      </x:c>
      <x:c r="R23" s="53" t="str">
        <x:v>Có</x:v>
      </x:c>
      <x:c r="S23" s="53" t="str">
        <x:v>1 kg = 1000 g</x:v>
      </x:c>
      <x:c r="T23" s="53" t="str">
        <x:v>active:2</x:v>
      </x:c>
      <x:c r="U23" s="56" t="str">
        <x:v>2026-06-30 02:04:12</x:v>
      </x:c>
    </x:row>
    <x:row r="24">
      <x:c r="A24" s="52" t="str">
        <x:v>GV06</x:v>
      </x:c>
      <x:c r="B24" s="53" t="str">
        <x:v>Muối</x:v>
      </x:c>
      <x:c r="C24" s="53" t="str">
        <x:v>Nguyên liệu</x:v>
      </x:c>
      <x:c r="D24" s="53" t="str">
        <x:v>Gia vị</x:v>
      </x:c>
      <x:c r="E24" s="53" t="str">
        <x:v>raw / active</x:v>
      </x:c>
      <x:c r="F24" s="53" t="str">
        <x:v>g</x:v>
      </x:c>
      <x:c r="G24" s="53" t="str">
        <x:v>kg</x:v>
      </x:c>
      <x:c r="H24" s="54" t="n">
        <x:v>1000</x:v>
      </x:c>
      <x:c r="I24" s="55" t="n">
        <x:v>10</x:v>
      </x:c>
      <x:c r="J24" s="55" t="n">
        <x:v>8472</x:v>
      </x:c>
      <x:c r="K24" s="55" t="n">
        <x:v>84720</x:v>
      </x:c>
      <x:c r="L24" s="55" t="n">
        <x:f>IF(J24&gt;0,K24/J24,I24)</x:f>
        <x:v>10</x:v>
      </x:c>
      <x:c r="M24" s="55" t="n">
        <x:f>J24*L24</x:f>
        <x:v>84720</x:v>
      </x:c>
      <x:c r="N24" s="54" t="n">
        <x:v>8472</x:v>
      </x:c>
      <x:c r="O24" s="54" t="n">
        <x:f>N24-J24</x:f>
        <x:v>0</x:v>
      </x:c>
      <x:c r="P24" s="54" t="n">
        <x:v>0</x:v>
      </x:c>
      <x:c r="Q24" s="54" t="n">
        <x:f>MAX(0,P24-J24)</x:f>
        <x:v>0</x:v>
      </x:c>
      <x:c r="R24" s="53" t="str">
        <x:v>Có</x:v>
      </x:c>
      <x:c r="S24" s="53" t="str">
        <x:v>1 kg = 1000 g</x:v>
      </x:c>
      <x:c r="T24" s="53" t="str">
        <x:v>active:2</x:v>
      </x:c>
      <x:c r="U24" s="56" t="str">
        <x:v>2026-06-30 12:04:33</x:v>
      </x:c>
    </x:row>
    <x:row r="25">
      <x:c r="A25" s="52" t="str">
        <x:v>GV07</x:v>
      </x:c>
      <x:c r="B25" s="53" t="str">
        <x:v>Tương ớt Cholimex</x:v>
      </x:c>
      <x:c r="C25" s="53" t="str">
        <x:v>Nguyên liệu</x:v>
      </x:c>
      <x:c r="D25" s="53" t="str">
        <x:v>Nguyên liệu</x:v>
      </x:c>
      <x:c r="E25" s="53" t="str">
        <x:v>raw / active</x:v>
      </x:c>
      <x:c r="F25" s="53" t="str">
        <x:v>g</x:v>
      </x:c>
      <x:c r="G25" s="53" t="str">
        <x:v>chai</x:v>
      </x:c>
      <x:c r="H25" s="54" t="n">
        <x:v>5000</x:v>
      </x:c>
      <x:c r="I25" s="55" t="n">
        <x:v>28</x:v>
      </x:c>
      <x:c r="J25" s="55" t="n">
        <x:v>54386.329</x:v>
      </x:c>
      <x:c r="K25" s="55" t="n">
        <x:v>1522817.212</x:v>
      </x:c>
      <x:c r="L25" s="55" t="n">
        <x:f>IF(J25&gt;0,K25/J25,I25)</x:f>
        <x:v>28.000000000000004</x:v>
      </x:c>
      <x:c r="M25" s="55" t="n">
        <x:f>J25*L25</x:f>
        <x:v>1522817.212</x:v>
      </x:c>
      <x:c r="N25" s="54" t="n">
        <x:v>54386.328999999976</x:v>
      </x:c>
      <x:c r="O25" s="54" t="n">
        <x:f>N25-J25</x:f>
        <x:v>-2.1827872842550278e-11</x:v>
      </x:c>
      <x:c r="P25" s="54" t="n">
        <x:v>0</x:v>
      </x:c>
      <x:c r="Q25" s="54" t="n">
        <x:f>MAX(0,P25-J25)</x:f>
        <x:v>0</x:v>
      </x:c>
      <x:c r="R25" s="53" t="str">
        <x:v>Có</x:v>
      </x:c>
      <x:c r="S25" s="53" t="str">
        <x:v>1 chai = 5000 g</x:v>
      </x:c>
      <x:c r="T25" s="53" t="str">
        <x:v>active:2</x:v>
      </x:c>
      <x:c r="U25" s="56" t="str">
        <x:v>2026-06-30 02:04:12</x:v>
      </x:c>
    </x:row>
    <x:row r="26">
      <x:c r="A26" s="52" t="str">
        <x:v>GV08</x:v>
      </x:c>
      <x:c r="B26" s="53" t="str">
        <x:v>Nước tương Lee Kum Kee</x:v>
      </x:c>
      <x:c r="C26" s="53" t="str">
        <x:v>Nguyên liệu</x:v>
      </x:c>
      <x:c r="D26" s="53" t="str">
        <x:v>Gia vị</x:v>
      </x:c>
      <x:c r="E26" s="53" t="str">
        <x:v>raw / active</x:v>
      </x:c>
      <x:c r="F26" s="53" t="str">
        <x:v>ml</x:v>
      </x:c>
      <x:c r="G26" s="53" t="str">
        <x:v>chai</x:v>
      </x:c>
      <x:c r="H26" s="54" t="n">
        <x:v>500</x:v>
      </x:c>
      <x:c r="I26" s="55" t="n">
        <x:v>96.666</x:v>
      </x:c>
      <x:c r="J26" s="55" t="n">
        <x:v>23050</x:v>
      </x:c>
      <x:c r="K26" s="55" t="n">
        <x:v>2228151.3</x:v>
      </x:c>
      <x:c r="L26" s="55" t="n">
        <x:f>IF(J26&gt;0,K26/J26,I26)</x:f>
        <x:v>96.666</x:v>
      </x:c>
      <x:c r="M26" s="55" t="n">
        <x:f>J26*L26</x:f>
        <x:v>2228151.3</x:v>
      </x:c>
      <x:c r="N26" s="54" t="n">
        <x:v>23050</x:v>
      </x:c>
      <x:c r="O26" s="54" t="n">
        <x:f>N26-J26</x:f>
        <x:v>0</x:v>
      </x:c>
      <x:c r="P26" s="54" t="n">
        <x:v>0</x:v>
      </x:c>
      <x:c r="Q26" s="54" t="n">
        <x:f>MAX(0,P26-J26)</x:f>
        <x:v>0</x:v>
      </x:c>
      <x:c r="R26" s="53" t="str">
        <x:v>Có</x:v>
      </x:c>
      <x:c r="S26" s="53" t="str">
        <x:v>1 chai = 500 ml</x:v>
      </x:c>
      <x:c r="T26" s="53" t="str">
        <x:v>active:1</x:v>
      </x:c>
      <x:c r="U26" s="56" t="str">
        <x:v>2026-06-30 02:04:12</x:v>
      </x:c>
    </x:row>
    <x:row r="27">
      <x:c r="A27" s="52" t="str">
        <x:v>GV09</x:v>
      </x:c>
      <x:c r="B27" s="53" t="str">
        <x:v>Dầu hào Lee Kum Kee</x:v>
      </x:c>
      <x:c r="C27" s="53" t="str">
        <x:v>Nguyên liệu</x:v>
      </x:c>
      <x:c r="D27" s="53" t="str">
        <x:v>Dầu</x:v>
      </x:c>
      <x:c r="E27" s="53" t="str">
        <x:v>raw / active</x:v>
      </x:c>
      <x:c r="F27" s="53" t="str">
        <x:v>g</x:v>
      </x:c>
      <x:c r="G27" s="53" t="str">
        <x:v>chai</x:v>
      </x:c>
      <x:c r="H27" s="54" t="n">
        <x:v>510</x:v>
      </x:c>
      <x:c r="I27" s="55" t="n">
        <x:v>62.092157</x:v>
      </x:c>
      <x:c r="J27" s="55" t="n">
        <x:v>39122</x:v>
      </x:c>
      <x:c r="K27" s="55" t="n">
        <x:v>2429169.366154</x:v>
      </x:c>
      <x:c r="L27" s="55" t="n">
        <x:f>IF(J27&gt;0,K27/J27,I27)</x:f>
        <x:v>62.09215700000001</x:v>
      </x:c>
      <x:c r="M27" s="55" t="n">
        <x:f>J27*L27</x:f>
        <x:v>2429169.366154</x:v>
      </x:c>
      <x:c r="N27" s="54" t="n">
        <x:v>39122</x:v>
      </x:c>
      <x:c r="O27" s="54" t="n">
        <x:f>N27-J27</x:f>
        <x:v>0</x:v>
      </x:c>
      <x:c r="P27" s="54" t="n">
        <x:v>0</x:v>
      </x:c>
      <x:c r="Q27" s="54" t="n">
        <x:f>MAX(0,P27-J27)</x:f>
        <x:v>0</x:v>
      </x:c>
      <x:c r="R27" s="53" t="str">
        <x:v>Có</x:v>
      </x:c>
      <x:c r="S27" s="53" t="str">
        <x:v>1 chai = 510 g</x:v>
      </x:c>
      <x:c r="T27" s="53" t="str">
        <x:v>active:1</x:v>
      </x:c>
      <x:c r="U27" s="56" t="str">
        <x:v>2026-06-30 02:04:12</x:v>
      </x:c>
    </x:row>
    <x:row r="28">
      <x:c r="A28" s="52" t="str">
        <x:v>GV10</x:v>
      </x:c>
      <x:c r="B28" s="53" t="str">
        <x:v>Bột màu gạch tôm</x:v>
      </x:c>
      <x:c r="C28" s="53" t="str">
        <x:v>Nguyên liệu</x:v>
      </x:c>
      <x:c r="D28" s="53" t="str">
        <x:v>Gia vị</x:v>
      </x:c>
      <x:c r="E28" s="53" t="str">
        <x:v>raw / active</x:v>
      </x:c>
      <x:c r="F28" s="53" t="str">
        <x:v>g</x:v>
      </x:c>
      <x:c r="G28" s="53" t="str">
        <x:v>g</x:v>
      </x:c>
      <x:c r="H28" s="54" t="n">
        <x:v>1</x:v>
      </x:c>
      <x:c r="I28" s="55" t="n">
        <x:v>180</x:v>
      </x:c>
      <x:c r="J28" s="55" t="n">
        <x:v>886</x:v>
      </x:c>
      <x:c r="K28" s="55" t="n">
        <x:v>159480</x:v>
      </x:c>
      <x:c r="L28" s="55" t="n">
        <x:f>IF(J28&gt;0,K28/J28,I28)</x:f>
        <x:v>180</x:v>
      </x:c>
      <x:c r="M28" s="55" t="n">
        <x:f>J28*L28</x:f>
        <x:v>159480</x:v>
      </x:c>
      <x:c r="N28" s="54" t="n">
        <x:v>886</x:v>
      </x:c>
      <x:c r="O28" s="54" t="n">
        <x:f>N28-J28</x:f>
        <x:v>0</x:v>
      </x:c>
      <x:c r="P28" s="54" t="n">
        <x:v>10</x:v>
      </x:c>
      <x:c r="Q28" s="54" t="n">
        <x:f>MAX(0,P28-J28)</x:f>
        <x:v>0</x:v>
      </x:c>
      <x:c r="R28" s="53" t="str">
        <x:v>Có</x:v>
      </x:c>
      <x:c r="S28" s="53" t="str">
        <x:v>1 g = 1 g</x:v>
      </x:c>
      <x:c r="T28" s="53" t="str">
        <x:v>active:1</x:v>
      </x:c>
      <x:c r="U28" s="56" t="str">
        <x:v>2026-06-28 15:17:52</x:v>
      </x:c>
    </x:row>
    <x:row r="29">
      <x:c r="A29" s="52" t="str">
        <x:v>GV11</x:v>
      </x:c>
      <x:c r="B29" s="53" t="str">
        <x:v>Bột ngọt Ajinomoto</x:v>
      </x:c>
      <x:c r="C29" s="53" t="str">
        <x:v>Nguyên liệu</x:v>
      </x:c>
      <x:c r="D29" s="53" t="str">
        <x:v>Gia vị</x:v>
      </x:c>
      <x:c r="E29" s="53" t="str">
        <x:v>raw / active</x:v>
      </x:c>
      <x:c r="F29" s="53" t="str">
        <x:v>g</x:v>
      </x:c>
      <x:c r="G29" s="53" t="str">
        <x:v>goi</x:v>
      </x:c>
      <x:c r="H29" s="54" t="n">
        <x:v>5000</x:v>
      </x:c>
      <x:c r="I29" s="55" t="n">
        <x:v>50</x:v>
      </x:c>
      <x:c r="J29" s="55" t="n">
        <x:v>25651</x:v>
      </x:c>
      <x:c r="K29" s="55" t="n">
        <x:v>1335805</x:v>
      </x:c>
      <x:c r="L29" s="55" t="n">
        <x:f>IF(J29&gt;0,K29/J29,I29)</x:f>
        <x:v>52.07613738255819</x:v>
      </x:c>
      <x:c r="M29" s="55" t="n">
        <x:f>J29*L29</x:f>
        <x:v>1335805</x:v>
      </x:c>
      <x:c r="N29" s="54" t="n">
        <x:v>25651</x:v>
      </x:c>
      <x:c r="O29" s="54" t="n">
        <x:f>N29-J29</x:f>
        <x:v>0</x:v>
      </x:c>
      <x:c r="P29" s="54" t="n">
        <x:v>10000</x:v>
      </x:c>
      <x:c r="Q29" s="54" t="n">
        <x:f>MAX(0,P29-J29)</x:f>
        <x:v>0</x:v>
      </x:c>
      <x:c r="R29" s="53" t="str">
        <x:v>Có</x:v>
      </x:c>
      <x:c r="S29" s="53" t="str">
        <x:v>1 goi = 5000 g</x:v>
      </x:c>
      <x:c r="T29" s="53" t="str">
        <x:v>active:2</x:v>
      </x:c>
      <x:c r="U29" s="56" t="str">
        <x:v>2026-06-30 11:57:04</x:v>
      </x:c>
    </x:row>
    <x:row r="30">
      <x:c r="A30" s="52" t="str">
        <x:v>GV12</x:v>
      </x:c>
      <x:c r="B30" s="53" t="str">
        <x:v>Baking soda</x:v>
      </x:c>
      <x:c r="C30" s="53" t="str">
        <x:v>Nguyên liệu</x:v>
      </x:c>
      <x:c r="D30" s="53" t="str">
        <x:v>Gia vị</x:v>
      </x:c>
      <x:c r="E30" s="53" t="str">
        <x:v>raw / active</x:v>
      </x:c>
      <x:c r="F30" s="53" t="str">
        <x:v>g</x:v>
      </x:c>
      <x:c r="G30" s="53" t="str">
        <x:v>hop</x:v>
      </x:c>
      <x:c r="H30" s="54" t="n">
        <x:v>454</x:v>
      </x:c>
      <x:c r="I30" s="55" t="n">
        <x:v>66.079295</x:v>
      </x:c>
      <x:c r="J30" s="55" t="n">
        <x:v>2487.25</x:v>
      </x:c>
      <x:c r="K30" s="55" t="n">
        <x:v>164355.72648875</x:v>
      </x:c>
      <x:c r="L30" s="55" t="n">
        <x:f>IF(J30&gt;0,K30/J30,I30)</x:f>
        <x:v>66.079295</x:v>
      </x:c>
      <x:c r="M30" s="55" t="n">
        <x:f>J30*L30</x:f>
        <x:v>164355.72648875</x:v>
      </x:c>
      <x:c r="N30" s="54" t="n">
        <x:v>2487.25</x:v>
      </x:c>
      <x:c r="O30" s="54" t="n">
        <x:f>N30-J30</x:f>
        <x:v>0</x:v>
      </x:c>
      <x:c r="P30" s="54" t="n">
        <x:v>4540</x:v>
      </x:c>
      <x:c r="Q30" s="54" t="n">
        <x:f>MAX(0,P30-J30)</x:f>
        <x:v>2052.75</x:v>
      </x:c>
      <x:c r="R30" s="53" t="str">
        <x:v>Có</x:v>
      </x:c>
      <x:c r="S30" s="53" t="str">
        <x:v>1 hop = 454 g</x:v>
      </x:c>
      <x:c r="T30" s="53" t="str">
        <x:v>active:1</x:v>
      </x:c>
      <x:c r="U30" s="56" t="str">
        <x:v>2026-06-30 02:04:12</x:v>
      </x:c>
    </x:row>
    <x:row r="31">
      <x:c r="A31" s="52" t="str">
        <x:v>GV13</x:v>
      </x:c>
      <x:c r="B31" s="53" t="str">
        <x:v>Tiêu</x:v>
      </x:c>
      <x:c r="C31" s="53" t="str">
        <x:v>Nguyên liệu</x:v>
      </x:c>
      <x:c r="D31" s="53" t="str">
        <x:v>Gia vị</x:v>
      </x:c>
      <x:c r="E31" s="53" t="str">
        <x:v>raw / active</x:v>
      </x:c>
      <x:c r="F31" s="53" t="str">
        <x:v>g</x:v>
      </x:c>
      <x:c r="G31" s="53" t="str">
        <x:v>kg</x:v>
      </x:c>
      <x:c r="H31" s="54" t="n">
        <x:v>1000</x:v>
      </x:c>
      <x:c r="I31" s="55" t="n">
        <x:v>210</x:v>
      </x:c>
      <x:c r="J31" s="55" t="n">
        <x:v>924</x:v>
      </x:c>
      <x:c r="K31" s="55" t="n">
        <x:v>194040</x:v>
      </x:c>
      <x:c r="L31" s="55" t="n">
        <x:f>IF(J31&gt;0,K31/J31,I31)</x:f>
        <x:v>210</x:v>
      </x:c>
      <x:c r="M31" s="55" t="n">
        <x:f>J31*L31</x:f>
        <x:v>194040</x:v>
      </x:c>
      <x:c r="N31" s="54" t="n">
        <x:v>924</x:v>
      </x:c>
      <x:c r="O31" s="54" t="n">
        <x:f>N31-J31</x:f>
        <x:v>0</x:v>
      </x:c>
      <x:c r="P31" s="54" t="n">
        <x:v>0</x:v>
      </x:c>
      <x:c r="Q31" s="54" t="n">
        <x:f>MAX(0,P31-J31)</x:f>
        <x:v>0</x:v>
      </x:c>
      <x:c r="R31" s="53" t="str">
        <x:v>Có</x:v>
      </x:c>
      <x:c r="S31" s="53" t="str">
        <x:v>1 kg = 1000 g</x:v>
      </x:c>
      <x:c r="T31" s="53" t="str">
        <x:v>active:1</x:v>
      </x:c>
      <x:c r="U31" s="56" t="str">
        <x:v>2026-06-30 02:04:12</x:v>
      </x:c>
    </x:row>
    <x:row r="32">
      <x:c r="A32" s="52" t="str">
        <x:v>GV14</x:v>
      </x:c>
      <x:c r="B32" s="53" t="str">
        <x:v>Bột năng</x:v>
      </x:c>
      <x:c r="C32" s="53" t="str">
        <x:v>Nguyên liệu</x:v>
      </x:c>
      <x:c r="D32" s="53" t="str">
        <x:v>Gia vị</x:v>
      </x:c>
      <x:c r="E32" s="53" t="str">
        <x:v>raw / active</x:v>
      </x:c>
      <x:c r="F32" s="53" t="str">
        <x:v>g</x:v>
      </x:c>
      <x:c r="G32" s="53" t="str">
        <x:v>tui</x:v>
      </x:c>
      <x:c r="H32" s="54" t="n">
        <x:v>500</x:v>
      </x:c>
      <x:c r="I32" s="55" t="n">
        <x:v>22</x:v>
      </x:c>
      <x:c r="J32" s="55" t="n">
        <x:v>10681</x:v>
      </x:c>
      <x:c r="K32" s="55" t="n">
        <x:v>239433.016</x:v>
      </x:c>
      <x:c r="L32" s="55" t="n">
        <x:f>IF(J32&gt;0,K32/J32,I32)</x:f>
        <x:v>22.416722778766033</x:v>
      </x:c>
      <x:c r="M32" s="55" t="n">
        <x:f>J32*L32</x:f>
        <x:v>239433.016</x:v>
      </x:c>
      <x:c r="N32" s="54" t="n">
        <x:v>10681</x:v>
      </x:c>
      <x:c r="O32" s="54" t="n">
        <x:f>N32-J32</x:f>
        <x:v>0</x:v>
      </x:c>
      <x:c r="P32" s="54" t="n">
        <x:v>0</x:v>
      </x:c>
      <x:c r="Q32" s="54" t="n">
        <x:f>MAX(0,P32-J32)</x:f>
        <x:v>0</x:v>
      </x:c>
      <x:c r="R32" s="53" t="str">
        <x:v>Có</x:v>
      </x:c>
      <x:c r="S32" s="53" t="str">
        <x:v>1 tui = 500 g</x:v>
      </x:c>
      <x:c r="T32" s="53" t="str">
        <x:v>active:2</x:v>
      </x:c>
      <x:c r="U32" s="56" t="str">
        <x:v>2026-06-30 12:12:59</x:v>
      </x:c>
    </x:row>
    <x:row r="33">
      <x:c r="A33" s="52" t="str">
        <x:v>GV15</x:v>
      </x:c>
      <x:c r="B33" s="53" t="str">
        <x:v>Coca Cola</x:v>
      </x:c>
      <x:c r="C33" s="53" t="str">
        <x:v>Nguyên liệu</x:v>
      </x:c>
      <x:c r="D33" s="53" t="str">
        <x:v>Gia vị</x:v>
      </x:c>
      <x:c r="E33" s="53" t="str">
        <x:v>raw / active</x:v>
      </x:c>
      <x:c r="F33" s="53" t="str">
        <x:v>ml</x:v>
      </x:c>
      <x:c r="G33" s="53" t="str">
        <x:v>chai</x:v>
      </x:c>
      <x:c r="H33" s="54" t="n">
        <x:v>1500</x:v>
      </x:c>
      <x:c r="I33" s="55" t="n">
        <x:v>10</x:v>
      </x:c>
      <x:c r="J33" s="55" t="n">
        <x:v>9000</x:v>
      </x:c>
      <x:c r="K33" s="55" t="n">
        <x:v>90000</x:v>
      </x:c>
      <x:c r="L33" s="55" t="n">
        <x:f>IF(J33&gt;0,K33/J33,I33)</x:f>
        <x:v>10</x:v>
      </x:c>
      <x:c r="M33" s="55" t="n">
        <x:f>J33*L33</x:f>
        <x:v>90000</x:v>
      </x:c>
      <x:c r="N33" s="54" t="n">
        <x:v>9000</x:v>
      </x:c>
      <x:c r="O33" s="54" t="n">
        <x:f>N33-J33</x:f>
        <x:v>0</x:v>
      </x:c>
      <x:c r="P33" s="54" t="n">
        <x:v>0</x:v>
      </x:c>
      <x:c r="Q33" s="54" t="n">
        <x:f>MAX(0,P33-J33)</x:f>
        <x:v>0</x:v>
      </x:c>
      <x:c r="R33" s="53" t="str">
        <x:v>Có</x:v>
      </x:c>
      <x:c r="S33" s="53" t="str">
        <x:v>1 chai = 1500 ml</x:v>
      </x:c>
      <x:c r="T33" s="53" t="str">
        <x:v>active:1</x:v>
      </x:c>
      <x:c r="U33" s="56" t="str">
        <x:v>2026-06-29 02:14:39</x:v>
      </x:c>
    </x:row>
    <x:row r="34">
      <x:c r="A34" s="52" t="str">
        <x:v>GV16</x:v>
      </x:c>
      <x:c r="B34" s="53" t="str">
        <x:v>Giấm ăn Thăng Long</x:v>
      </x:c>
      <x:c r="C34" s="53" t="str">
        <x:v>Nguyên liệu</x:v>
      </x:c>
      <x:c r="D34" s="53" t="str">
        <x:v>Gia vị</x:v>
      </x:c>
      <x:c r="E34" s="53" t="str">
        <x:v>raw / active</x:v>
      </x:c>
      <x:c r="F34" s="53" t="str">
        <x:v>ml</x:v>
      </x:c>
      <x:c r="G34" s="53" t="str">
        <x:v>chai</x:v>
      </x:c>
      <x:c r="H34" s="54" t="n">
        <x:v>950</x:v>
      </x:c>
      <x:c r="I34" s="55" t="n">
        <x:v>7.894737</x:v>
      </x:c>
      <x:c r="J34" s="55" t="n">
        <x:v>84100</x:v>
      </x:c>
      <x:c r="K34" s="55" t="n">
        <x:v>663947.3817</x:v>
      </x:c>
      <x:c r="L34" s="55" t="n">
        <x:f>IF(J34&gt;0,K34/J34,I34)</x:f>
        <x:v>7.894737</x:v>
      </x:c>
      <x:c r="M34" s="55" t="n">
        <x:f>J34*L34</x:f>
        <x:v>663947.3817</x:v>
      </x:c>
      <x:c r="N34" s="54" t="n">
        <x:v>84100</x:v>
      </x:c>
      <x:c r="O34" s="54" t="n">
        <x:f>N34-J34</x:f>
        <x:v>0</x:v>
      </x:c>
      <x:c r="P34" s="54" t="n">
        <x:v>0</x:v>
      </x:c>
      <x:c r="Q34" s="54" t="n">
        <x:f>MAX(0,P34-J34)</x:f>
        <x:v>0</x:v>
      </x:c>
      <x:c r="R34" s="53" t="str">
        <x:v>Có</x:v>
      </x:c>
      <x:c r="S34" s="53" t="str">
        <x:v>1 chai = 950 ml</x:v>
      </x:c>
      <x:c r="T34" s="53" t="str">
        <x:v>active:3</x:v>
      </x:c>
      <x:c r="U34" s="56" t="str">
        <x:v>2026-06-30 11:50:36</x:v>
      </x:c>
    </x:row>
    <x:row r="35">
      <x:c r="A35" s="52" t="str">
        <x:v>GV17</x:v>
      </x:c>
      <x:c r="B35" s="53" t="str">
        <x:v>Hạt nêm Meizan</x:v>
      </x:c>
      <x:c r="C35" s="53" t="str">
        <x:v>Nguyên liệu</x:v>
      </x:c>
      <x:c r="D35" s="53" t="str">
        <x:v>Gia vị</x:v>
      </x:c>
      <x:c r="E35" s="53" t="str">
        <x:v>raw / active</x:v>
      </x:c>
      <x:c r="F35" s="53" t="str">
        <x:v>g</x:v>
      </x:c>
      <x:c r="G35" s="53" t="str">
        <x:v>tui</x:v>
      </x:c>
      <x:c r="H35" s="54" t="n">
        <x:v>1800</x:v>
      </x:c>
      <x:c r="I35" s="55" t="n">
        <x:v>38.333333</x:v>
      </x:c>
      <x:c r="J35" s="55" t="n">
        <x:v>28990.707000000002</x:v>
      </x:c>
      <x:c r="K35" s="55" t="n">
        <x:v>1171946.127463569</x:v>
      </x:c>
      <x:c r="L35" s="55" t="n">
        <x:f>IF(J35&gt;0,K35/J35,I35)</x:f>
        <x:v>40.42488951592553</x:v>
      </x:c>
      <x:c r="M35" s="55" t="n">
        <x:f>J35*L35</x:f>
        <x:v>1171946.127463569</x:v>
      </x:c>
      <x:c r="N35" s="54" t="n">
        <x:v>28990.70699999999</x:v>
      </x:c>
      <x:c r="O35" s="54" t="n">
        <x:f>N35-J35</x:f>
        <x:v>-1.0913936421275139e-11</x:v>
      </x:c>
      <x:c r="P35" s="54" t="n">
        <x:v>0</x:v>
      </x:c>
      <x:c r="Q35" s="54" t="n">
        <x:f>MAX(0,P35-J35)</x:f>
        <x:v>0</x:v>
      </x:c>
      <x:c r="R35" s="53" t="str">
        <x:v>Có</x:v>
      </x:c>
      <x:c r="S35" s="53" t="str">
        <x:v>1 tui = 1800 g</x:v>
      </x:c>
      <x:c r="T35" s="53" t="str">
        <x:v>active:3</x:v>
      </x:c>
      <x:c r="U35" s="56" t="str">
        <x:v>2026-06-30 02:04:12</x:v>
      </x:c>
    </x:row>
    <x:row r="36">
      <x:c r="A36" s="52" t="str">
        <x:v>GV19</x:v>
      </x:c>
      <x:c r="B36" s="53" t="str">
        <x:v>Nước tương Tam Thái Tử</x:v>
      </x:c>
      <x:c r="C36" s="53" t="str">
        <x:v>Nguyên liệu</x:v>
      </x:c>
      <x:c r="D36" s="53" t="str">
        <x:v>Gia vị</x:v>
      </x:c>
      <x:c r="E36" s="53" t="str">
        <x:v>raw / active</x:v>
      </x:c>
      <x:c r="F36" s="53" t="str">
        <x:v>chai</x:v>
      </x:c>
      <x:c r="G36" s="53" t="str">
        <x:v>chai</x:v>
      </x:c>
      <x:c r="H36" s="54" t="n">
        <x:v>1</x:v>
      </x:c>
      <x:c r="I36" s="55" t="n">
        <x:v>6400</x:v>
      </x:c>
      <x:c r="J36" s="55" t="n">
        <x:v>34</x:v>
      </x:c>
      <x:c r="K36" s="55" t="n">
        <x:v>217600</x:v>
      </x:c>
      <x:c r="L36" s="55" t="n">
        <x:f>IF(J36&gt;0,K36/J36,I36)</x:f>
        <x:v>6400</x:v>
      </x:c>
      <x:c r="M36" s="55" t="n">
        <x:f>J36*L36</x:f>
        <x:v>217600</x:v>
      </x:c>
      <x:c r="N36" s="54" t="n">
        <x:v>34</x:v>
      </x:c>
      <x:c r="O36" s="54" t="n">
        <x:f>N36-J36</x:f>
        <x:v>0</x:v>
      </x:c>
      <x:c r="P36" s="54" t="n">
        <x:v>0</x:v>
      </x:c>
      <x:c r="Q36" s="54" t="n">
        <x:f>MAX(0,P36-J36)</x:f>
        <x:v>0</x:v>
      </x:c>
      <x:c r="R36" s="53" t="str">
        <x:v>Có</x:v>
      </x:c>
      <x:c r="S36" s="53" t="str">
        <x:v>1 chai = 1 chai</x:v>
      </x:c>
      <x:c r="T36" s="53" t="str">
        <x:v>active:2</x:v>
      </x:c>
      <x:c r="U36" s="56" t="str">
        <x:v>2026-06-29 13:23:47</x:v>
      </x:c>
    </x:row>
    <x:row r="37">
      <x:c r="A37" s="52" t="str">
        <x:v>GV20</x:v>
      </x:c>
      <x:c r="B37" s="53" t="str">
        <x:v>Bịch gia vị</x:v>
      </x:c>
      <x:c r="C37" s="53" t="str">
        <x:v>Thành phẩm sản xuất</x:v>
      </x:c>
      <x:c r="D37" s="53" t="str">
        <x:v>Gia vị</x:v>
      </x:c>
      <x:c r="E37" s="53" t="str">
        <x:v>raw / production_output / active</x:v>
      </x:c>
      <x:c r="F37" s="53" t="str">
        <x:v>goi</x:v>
      </x:c>
      <x:c r="G37" s="53" t="str">
        <x:v>goi</x:v>
      </x:c>
      <x:c r="H37" s="54" t="n">
        <x:v>1</x:v>
      </x:c>
      <x:c r="I37" s="55" t="n">
        <x:v>6641.678365</x:v>
      </x:c>
      <x:c r="J37" s="55" t="n">
        <x:v>14</x:v>
      </x:c>
      <x:c r="K37" s="55" t="n">
        <x:v>92983.49711</x:v>
      </x:c>
      <x:c r="L37" s="55" t="n">
        <x:f>IF(J37&gt;0,K37/J37,I37)</x:f>
        <x:v>6641.678365</x:v>
      </x:c>
      <x:c r="M37" s="55" t="n">
        <x:f>J37*L37</x:f>
        <x:v>92983.49711</x:v>
      </x:c>
      <x:c r="N37" s="54" t="n">
        <x:v>14</x:v>
      </x:c>
      <x:c r="O37" s="54" t="n">
        <x:f>N37-J37</x:f>
        <x:v>0</x:v>
      </x:c>
      <x:c r="P37" s="54" t="n">
        <x:v>10</x:v>
      </x:c>
      <x:c r="Q37" s="54" t="n">
        <x:f>MAX(0,P37-J37)</x:f>
        <x:v>0</x:v>
      </x:c>
      <x:c r="R37" s="53" t="str">
        <x:v>Có</x:v>
      </x:c>
      <x:c r="S37" s="53" t="str">
        <x:v>1 goi = 1 goi</x:v>
      </x:c>
      <x:c r="T37" s="53" t="str">
        <x:v>active:1</x:v>
      </x:c>
      <x:c r="U37" s="56" t="str">
        <x:v>2026-06-11 10:46:40</x:v>
      </x:c>
    </x:row>
    <x:row r="38">
      <x:c r="A38" s="52" t="str">
        <x:v>L650</x:v>
      </x:c>
      <x:c r="B38" s="53" t="str">
        <x:v>Ly nhựa 650</x:v>
      </x:c>
      <x:c r="C38" s="53" t="str">
        <x:v>Nguyên liệu</x:v>
      </x:c>
      <x:c r="D38" s="53" t="str">
        <x:v>Ly</x:v>
      </x:c>
      <x:c r="E38" s="53" t="str">
        <x:v>raw / active</x:v>
      </x:c>
      <x:c r="F38" s="53" t="str">
        <x:v>loc</x:v>
      </x:c>
      <x:c r="G38" s="53" t="str">
        <x:v>loc</x:v>
      </x:c>
      <x:c r="H38" s="54" t="n">
        <x:v>1</x:v>
      </x:c>
      <x:c r="I38" s="55" t="n">
        <x:v>21500</x:v>
      </x:c>
      <x:c r="J38" s="55" t="n">
        <x:v>83</x:v>
      </x:c>
      <x:c r="K38" s="55" t="n">
        <x:v>1784500</x:v>
      </x:c>
      <x:c r="L38" s="55" t="n">
        <x:f>IF(J38&gt;0,K38/J38,I38)</x:f>
        <x:v>21500</x:v>
      </x:c>
      <x:c r="M38" s="55" t="n">
        <x:f>J38*L38</x:f>
        <x:v>1784500</x:v>
      </x:c>
      <x:c r="N38" s="54" t="n">
        <x:v>83</x:v>
      </x:c>
      <x:c r="O38" s="54" t="n">
        <x:f>N38-J38</x:f>
        <x:v>0</x:v>
      </x:c>
      <x:c r="P38" s="54" t="n">
        <x:v>0</x:v>
      </x:c>
      <x:c r="Q38" s="54" t="n">
        <x:f>MAX(0,P38-J38)</x:f>
        <x:v>0</x:v>
      </x:c>
      <x:c r="R38" s="53" t="str">
        <x:v>Có</x:v>
      </x:c>
      <x:c r="S38" s="53" t="str">
        <x:v>1 loc = 1 loc</x:v>
      </x:c>
      <x:c r="T38" s="53" t="str">
        <x:v>active:2</x:v>
      </x:c>
      <x:c r="U38" s="56" t="str">
        <x:v>2026-06-30 14:56:10</x:v>
      </x:c>
    </x:row>
    <x:row r="39">
      <x:c r="A39" s="52" t="str">
        <x:v>L700</x:v>
      </x:c>
      <x:c r="B39" s="53" t="str">
        <x:v>Ly nhựa 700</x:v>
      </x:c>
      <x:c r="C39" s="53" t="str">
        <x:v>Nguyên liệu</x:v>
      </x:c>
      <x:c r="D39" s="53" t="str">
        <x:v>Ly</x:v>
      </x:c>
      <x:c r="E39" s="53" t="str">
        <x:v>raw / active</x:v>
      </x:c>
      <x:c r="F39" s="53" t="str">
        <x:v>loc</x:v>
      </x:c>
      <x:c r="G39" s="53" t="str">
        <x:v>loc</x:v>
      </x:c>
      <x:c r="H39" s="54" t="n">
        <x:v>1</x:v>
      </x:c>
      <x:c r="I39" s="55" t="n">
        <x:v>11500</x:v>
      </x:c>
      <x:c r="J39" s="55" t="n">
        <x:v>74</x:v>
      </x:c>
      <x:c r="K39" s="55" t="n">
        <x:v>851000</x:v>
      </x:c>
      <x:c r="L39" s="55" t="n">
        <x:f>IF(J39&gt;0,K39/J39,I39)</x:f>
        <x:v>11500</x:v>
      </x:c>
      <x:c r="M39" s="55" t="n">
        <x:f>J39*L39</x:f>
        <x:v>851000</x:v>
      </x:c>
      <x:c r="N39" s="54" t="n">
        <x:v>74</x:v>
      </x:c>
      <x:c r="O39" s="54" t="n">
        <x:f>N39-J39</x:f>
        <x:v>0</x:v>
      </x:c>
      <x:c r="P39" s="54" t="n">
        <x:v>0</x:v>
      </x:c>
      <x:c r="Q39" s="54" t="n">
        <x:f>MAX(0,P39-J39)</x:f>
        <x:v>0</x:v>
      </x:c>
      <x:c r="R39" s="53" t="str">
        <x:v>Có</x:v>
      </x:c>
      <x:c r="S39" s="53" t="str">
        <x:v>1 loc = 1 loc</x:v>
      </x:c>
      <x:c r="T39" s="53" t="str">
        <x:v>active:2</x:v>
      </x:c>
      <x:c r="U39" s="56" t="str">
        <x:v>2026-06-30 14:56:10</x:v>
      </x:c>
    </x:row>
    <x:row r="40">
      <x:c r="A40" s="52" t="str">
        <x:v>L750</x:v>
      </x:c>
      <x:c r="B40" s="53" t="str">
        <x:v>Ly nhựa 750</x:v>
      </x:c>
      <x:c r="C40" s="53" t="str">
        <x:v>Nguyên liệu</x:v>
      </x:c>
      <x:c r="D40" s="53" t="str">
        <x:v>Ly</x:v>
      </x:c>
      <x:c r="E40" s="53" t="str">
        <x:v>raw / active</x:v>
      </x:c>
      <x:c r="F40" s="53" t="str">
        <x:v>loc</x:v>
      </x:c>
      <x:c r="G40" s="53" t="str">
        <x:v>loc</x:v>
      </x:c>
      <x:c r="H40" s="54" t="n">
        <x:v>1</x:v>
      </x:c>
      <x:c r="I40" s="55" t="n">
        <x:v>10500</x:v>
      </x:c>
      <x:c r="J40" s="55" t="n">
        <x:v>20</x:v>
      </x:c>
      <x:c r="K40" s="55" t="n">
        <x:v>210000</x:v>
      </x:c>
      <x:c r="L40" s="55" t="n">
        <x:f>IF(J40&gt;0,K40/J40,I40)</x:f>
        <x:v>10500</x:v>
      </x:c>
      <x:c r="M40" s="55" t="n">
        <x:f>J40*L40</x:f>
        <x:v>210000</x:v>
      </x:c>
      <x:c r="N40" s="54" t="n">
        <x:v>20</x:v>
      </x:c>
      <x:c r="O40" s="54" t="n">
        <x:f>N40-J40</x:f>
        <x:v>0</x:v>
      </x:c>
      <x:c r="P40" s="54" t="n">
        <x:v>0</x:v>
      </x:c>
      <x:c r="Q40" s="54" t="n">
        <x:f>MAX(0,P40-J40)</x:f>
        <x:v>0</x:v>
      </x:c>
      <x:c r="R40" s="53" t="str">
        <x:v>Có</x:v>
      </x:c>
      <x:c r="S40" s="53" t="str">
        <x:v>1 loc = 1 loc</x:v>
      </x:c>
      <x:c r="T40" s="53" t="str">
        <x:v>active:1</x:v>
      </x:c>
      <x:c r="U40" s="56" t="str">
        <x:v>2026-06-15 10:39:09</x:v>
      </x:c>
    </x:row>
    <x:row r="41">
      <x:c r="A41" s="52" t="str">
        <x:v>M113</x:v>
      </x:c>
      <x:c r="B41" s="53" t="str">
        <x:v>Mỡ</x:v>
      </x:c>
      <x:c r="C41" s="53" t="str">
        <x:v>Nguyên liệu</x:v>
      </x:c>
      <x:c r="D41" s="53" t="str">
        <x:v>Thịt</x:v>
      </x:c>
      <x:c r="E41" s="53" t="str">
        <x:v>raw / active</x:v>
      </x:c>
      <x:c r="F41" s="53" t="str">
        <x:v>kg</x:v>
      </x:c>
      <x:c r="G41" s="53" t="str">
        <x:v>kg</x:v>
      </x:c>
      <x:c r="H41" s="54" t="n">
        <x:v>1</x:v>
      </x:c>
      <x:c r="I41" s="55" t="n">
        <x:v>70000</x:v>
      </x:c>
      <x:c r="J41" s="55" t="n">
        <x:v>0.6</x:v>
      </x:c>
      <x:c r="K41" s="55" t="n">
        <x:v>42000</x:v>
      </x:c>
      <x:c r="L41" s="55" t="n">
        <x:f>IF(J41&gt;0,K41/J41,I41)</x:f>
        <x:v>70000</x:v>
      </x:c>
      <x:c r="M41" s="55" t="n">
        <x:f>J41*L41</x:f>
        <x:v>42000</x:v>
      </x:c>
      <x:c r="N41" s="54" t="n">
        <x:v>0.6000000000000002</x:v>
      </x:c>
      <x:c r="O41" s="54" t="n">
        <x:f>N41-J41</x:f>
        <x:v>2.220446049250313e-16</x:v>
      </x:c>
      <x:c r="P41" s="54" t="n">
        <x:v>0</x:v>
      </x:c>
      <x:c r="Q41" s="54" t="n">
        <x:f>MAX(0,P41-J41)</x:f>
        <x:v>0</x:v>
      </x:c>
      <x:c r="R41" s="53" t="str">
        <x:v>Có</x:v>
      </x:c>
      <x:c r="S41" s="53" t="str">
        <x:v>1 kg = 1 kg</x:v>
      </x:c>
      <x:c r="T41" s="53" t="str">
        <x:v>active:1</x:v>
      </x:c>
      <x:c r="U41" s="56" t="str">
        <x:v>2026-06-26 07:11:35</x:v>
      </x:c>
    </x:row>
    <x:row r="42">
      <x:c r="A42" s="52" t="str">
        <x:v>MB01</x:v>
      </x:c>
      <x:c r="B42" s="53" t="str">
        <x:v>Màng bọc thực phẩm</x:v>
      </x:c>
      <x:c r="C42" s="53" t="str">
        <x:v>Nguyên liệu</x:v>
      </x:c>
      <x:c r="D42" s="53" t="str">
        <x:v>Bọc</x:v>
      </x:c>
      <x:c r="E42" s="53" t="str">
        <x:v>raw / active</x:v>
      </x:c>
      <x:c r="F42" s="53" t="str">
        <x:v>hop</x:v>
      </x:c>
      <x:c r="G42" s="53" t="str">
        <x:v>hop</x:v>
      </x:c>
      <x:c r="H42" s="54" t="n">
        <x:v>1</x:v>
      </x:c>
      <x:c r="I42" s="55" t="n">
        <x:v>110000</x:v>
      </x:c>
      <x:c r="J42" s="55" t="n">
        <x:v>2</x:v>
      </x:c>
      <x:c r="K42" s="55" t="n">
        <x:v>220000</x:v>
      </x:c>
      <x:c r="L42" s="55" t="n">
        <x:f>IF(J42&gt;0,K42/J42,I42)</x:f>
        <x:v>110000</x:v>
      </x:c>
      <x:c r="M42" s="55" t="n">
        <x:f>J42*L42</x:f>
        <x:v>220000</x:v>
      </x:c>
      <x:c r="N42" s="54" t="n">
        <x:v>2</x:v>
      </x:c>
      <x:c r="O42" s="54" t="n">
        <x:f>N42-J42</x:f>
        <x:v>0</x:v>
      </x:c>
      <x:c r="P42" s="54" t="n">
        <x:v>0</x:v>
      </x:c>
      <x:c r="Q42" s="54" t="n">
        <x:f>MAX(0,P42-J42)</x:f>
        <x:v>0</x:v>
      </x:c>
      <x:c r="R42" s="53" t="str">
        <x:v>Có</x:v>
      </x:c>
      <x:c r="S42" s="53" t="str">
        <x:v>1 hop = 1 hop</x:v>
      </x:c>
      <x:c r="T42" s="53" t="str">
        <x:v>active:1</x:v>
      </x:c>
      <x:c r="U42" s="56" t="str">
        <x:v>2026-06-19 13:44:42</x:v>
      </x:c>
    </x:row>
    <x:row r="43">
      <x:c r="A43" s="52" t="str">
        <x:v>MV01</x:v>
      </x:c>
      <x:c r="B43" s="53" t="str">
        <x:v>Hủ đựng canh</x:v>
      </x:c>
      <x:c r="C43" s="53" t="str">
        <x:v>Nguyên liệu</x:v>
      </x:c>
      <x:c r="D43" s="53" t="str">
        <x:v>Đồ mang về</x:v>
      </x:c>
      <x:c r="E43" s="53" t="str">
        <x:v>raw / active</x:v>
      </x:c>
      <x:c r="F43" s="53" t="str">
        <x:v>loc</x:v>
      </x:c>
      <x:c r="G43" s="53" t="str">
        <x:v>loc</x:v>
      </x:c>
      <x:c r="H43" s="54" t="n">
        <x:v>1</x:v>
      </x:c>
      <x:c r="I43" s="55" t="n">
        <x:v>27000</x:v>
      </x:c>
      <x:c r="J43" s="55" t="n">
        <x:v>162</x:v>
      </x:c>
      <x:c r="K43" s="55" t="n">
        <x:v>4374000</x:v>
      </x:c>
      <x:c r="L43" s="55" t="n">
        <x:f>IF(J43&gt;0,K43/J43,I43)</x:f>
        <x:v>27000</x:v>
      </x:c>
      <x:c r="M43" s="55" t="n">
        <x:f>J43*L43</x:f>
        <x:v>4374000</x:v>
      </x:c>
      <x:c r="N43" s="54" t="n">
        <x:v>162</x:v>
      </x:c>
      <x:c r="O43" s="54" t="n">
        <x:f>N43-J43</x:f>
        <x:v>0</x:v>
      </x:c>
      <x:c r="P43" s="54" t="n">
        <x:v>0</x:v>
      </x:c>
      <x:c r="Q43" s="54" t="n">
        <x:f>MAX(0,P43-J43)</x:f>
        <x:v>0</x:v>
      </x:c>
      <x:c r="R43" s="53" t="str">
        <x:v>Có</x:v>
      </x:c>
      <x:c r="S43" s="53" t="str">
        <x:v>1 loc = 1 loc</x:v>
      </x:c>
      <x:c r="T43" s="53" t="str">
        <x:v>active:2</x:v>
      </x:c>
      <x:c r="U43" s="56" t="str">
        <x:v>2026-06-30 14:56:10</x:v>
      </x:c>
    </x:row>
    <x:row r="44">
      <x:c r="A44" s="52" t="str">
        <x:v>MV02</x:v>
      </x:c>
      <x:c r="B44" s="53" t="str">
        <x:v>Hộp Cơm</x:v>
      </x:c>
      <x:c r="C44" s="53" t="str">
        <x:v>Nguyên liệu</x:v>
      </x:c>
      <x:c r="D44" s="53" t="str">
        <x:v>Đồ mang về</x:v>
      </x:c>
      <x:c r="E44" s="53" t="str">
        <x:v>raw / active</x:v>
      </x:c>
      <x:c r="F44" s="53" t="str">
        <x:v>loc</x:v>
      </x:c>
      <x:c r="G44" s="53" t="str">
        <x:v>loc</x:v>
      </x:c>
      <x:c r="H44" s="54" t="n">
        <x:v>1</x:v>
      </x:c>
      <x:c r="I44" s="55" t="n">
        <x:v>42500</x:v>
      </x:c>
      <x:c r="J44" s="55" t="n">
        <x:v>23</x:v>
      </x:c>
      <x:c r="K44" s="55" t="n">
        <x:v>930000</x:v>
      </x:c>
      <x:c r="L44" s="55" t="n">
        <x:f>IF(J44&gt;0,K44/J44,I44)</x:f>
        <x:v>40434.782608695656</x:v>
      </x:c>
      <x:c r="M44" s="55" t="n">
        <x:f>J44*L44</x:f>
        <x:v>930000.0000000001</x:v>
      </x:c>
      <x:c r="N44" s="54" t="n">
        <x:v>23</x:v>
      </x:c>
      <x:c r="O44" s="54" t="n">
        <x:f>N44-J44</x:f>
        <x:v>0</x:v>
      </x:c>
      <x:c r="P44" s="54" t="n">
        <x:v>0</x:v>
      </x:c>
      <x:c r="Q44" s="54" t="n">
        <x:f>MAX(0,P44-J44)</x:f>
        <x:v>0</x:v>
      </x:c>
      <x:c r="R44" s="53" t="str">
        <x:v>Có</x:v>
      </x:c>
      <x:c r="S44" s="53" t="str">
        <x:v>1 loc = 1 loc</x:v>
      </x:c>
      <x:c r="T44" s="53" t="str">
        <x:v>active:4</x:v>
      </x:c>
      <x:c r="U44" s="56" t="str">
        <x:v>2026-06-30 14:56:10</x:v>
      </x:c>
    </x:row>
    <x:row r="45">
      <x:c r="A45" s="52" t="str">
        <x:v>MV03</x:v>
      </x:c>
      <x:c r="B45" s="53" t="str">
        <x:v>Khăn lạnh</x:v>
      </x:c>
      <x:c r="C45" s="53" t="str">
        <x:v>Nguyên liệu</x:v>
      </x:c>
      <x:c r="D45" s="53" t="str">
        <x:v>Vệ sinh</x:v>
      </x:c>
      <x:c r="E45" s="53" t="str">
        <x:v>raw / active</x:v>
      </x:c>
      <x:c r="F45" s="53" t="str">
        <x:v>tui</x:v>
      </x:c>
      <x:c r="G45" s="53" t="str">
        <x:v>tui</x:v>
      </x:c>
      <x:c r="H45" s="54" t="n">
        <x:v>1</x:v>
      </x:c>
      <x:c r="I45" s="55" t="n">
        <x:v>46000</x:v>
      </x:c>
      <x:c r="J45" s="55" t="n">
        <x:v>55</x:v>
      </x:c>
      <x:c r="K45" s="55" t="n">
        <x:v>2530000</x:v>
      </x:c>
      <x:c r="L45" s="55" t="n">
        <x:f>IF(J45&gt;0,K45/J45,I45)</x:f>
        <x:v>46000</x:v>
      </x:c>
      <x:c r="M45" s="55" t="n">
        <x:f>J45*L45</x:f>
        <x:v>2530000</x:v>
      </x:c>
      <x:c r="N45" s="54" t="n">
        <x:v>55</x:v>
      </x:c>
      <x:c r="O45" s="54" t="n">
        <x:f>N45-J45</x:f>
        <x:v>0</x:v>
      </x:c>
      <x:c r="P45" s="54" t="n">
        <x:v>0</x:v>
      </x:c>
      <x:c r="Q45" s="54" t="n">
        <x:f>MAX(0,P45-J45)</x:f>
        <x:v>0</x:v>
      </x:c>
      <x:c r="R45" s="53" t="str">
        <x:v>Có</x:v>
      </x:c>
      <x:c r="S45" s="53" t="str">
        <x:v>1 tui = 1 tui</x:v>
      </x:c>
      <x:c r="T45" s="53" t="str">
        <x:v>active:2</x:v>
      </x:c>
      <x:c r="U45" s="56" t="str">
        <x:v>2026-06-30 14:42:00</x:v>
      </x:c>
    </x:row>
    <x:row r="46">
      <x:c r="A46" s="52" t="str">
        <x:v>MV04</x:v>
      </x:c>
      <x:c r="B46" s="53" t="str">
        <x:v>Tăm</x:v>
      </x:c>
      <x:c r="C46" s="53" t="str">
        <x:v>Nguyên liệu</x:v>
      </x:c>
      <x:c r="D46" s="53" t="str">
        <x:v>Nguyên liệu</x:v>
      </x:c>
      <x:c r="E46" s="53" t="str">
        <x:v>raw / active</x:v>
      </x:c>
      <x:c r="F46" s="53" t="str">
        <x:v>tui</x:v>
      </x:c>
      <x:c r="G46" s="53" t="str">
        <x:v>tui</x:v>
      </x:c>
      <x:c r="H46" s="54" t="n">
        <x:v>1</x:v>
      </x:c>
      <x:c r="I46" s="55" t="n">
        <x:v>6500</x:v>
      </x:c>
      <x:c r="J46" s="55" t="n">
        <x:v>17</x:v>
      </x:c>
      <x:c r="K46" s="55" t="n">
        <x:v>110500</x:v>
      </x:c>
      <x:c r="L46" s="55" t="n">
        <x:f>IF(J46&gt;0,K46/J46,I46)</x:f>
        <x:v>6500</x:v>
      </x:c>
      <x:c r="M46" s="55" t="n">
        <x:f>J46*L46</x:f>
        <x:v>110500</x:v>
      </x:c>
      <x:c r="N46" s="54" t="n">
        <x:v>17</x:v>
      </x:c>
      <x:c r="O46" s="54" t="n">
        <x:f>N46-J46</x:f>
        <x:v>0</x:v>
      </x:c>
      <x:c r="P46" s="54" t="n">
        <x:v>0</x:v>
      </x:c>
      <x:c r="Q46" s="54" t="n">
        <x:f>MAX(0,P46-J46)</x:f>
        <x:v>0</x:v>
      </x:c>
      <x:c r="R46" s="53" t="str">
        <x:v>Có</x:v>
      </x:c>
      <x:c r="S46" s="53" t="str">
        <x:v>1 tui = 1 tui</x:v>
      </x:c>
      <x:c r="T46" s="53" t="str">
        <x:v>active:3</x:v>
      </x:c>
      <x:c r="U46" s="56" t="str">
        <x:v>2026-06-30 14:57:18</x:v>
      </x:c>
    </x:row>
    <x:row r="47">
      <x:c r="A47" s="52" t="str">
        <x:v>MV06</x:v>
      </x:c>
      <x:c r="B47" s="53" t="str">
        <x:v>Ống hút</x:v>
      </x:c>
      <x:c r="C47" s="53" t="str">
        <x:v>Nguyên liệu</x:v>
      </x:c>
      <x:c r="D47" s="53" t="str">
        <x:v>Đồ mang về</x:v>
      </x:c>
      <x:c r="E47" s="53" t="str">
        <x:v>raw / active</x:v>
      </x:c>
      <x:c r="F47" s="53" t="str">
        <x:v>tui</x:v>
      </x:c>
      <x:c r="G47" s="53" t="str">
        <x:v>tui</x:v>
      </x:c>
      <x:c r="H47" s="54" t="n">
        <x:v>1</x:v>
      </x:c>
      <x:c r="I47" s="55" t="n">
        <x:v>24000</x:v>
      </x:c>
      <x:c r="J47" s="55" t="n">
        <x:v>16</x:v>
      </x:c>
      <x:c r="K47" s="55" t="n">
        <x:v>384000</x:v>
      </x:c>
      <x:c r="L47" s="55" t="n">
        <x:f>IF(J47&gt;0,K47/J47,I47)</x:f>
        <x:v>24000</x:v>
      </x:c>
      <x:c r="M47" s="55" t="n">
        <x:f>J47*L47</x:f>
        <x:v>384000</x:v>
      </x:c>
      <x:c r="N47" s="54" t="n">
        <x:v>16</x:v>
      </x:c>
      <x:c r="O47" s="54" t="n">
        <x:f>N47-J47</x:f>
        <x:v>0</x:v>
      </x:c>
      <x:c r="P47" s="54" t="n">
        <x:v>0</x:v>
      </x:c>
      <x:c r="Q47" s="54" t="n">
        <x:f>MAX(0,P47-J47)</x:f>
        <x:v>0</x:v>
      </x:c>
      <x:c r="R47" s="53" t="str">
        <x:v>Có</x:v>
      </x:c>
      <x:c r="S47" s="53" t="str">
        <x:v>1 tui = 1 tui</x:v>
      </x:c>
      <x:c r="T47" s="53" t="str">
        <x:v>active:2</x:v>
      </x:c>
      <x:c r="U47" s="56" t="str">
        <x:v>2026-06-30 14:56:10</x:v>
      </x:c>
    </x:row>
    <x:row r="48">
      <x:c r="A48" s="52" t="str">
        <x:v>MV07</x:v>
      </x:c>
      <x:c r="B48" s="53" t="str">
        <x:v>Bộ muỗng nĩa</x:v>
      </x:c>
      <x:c r="C48" s="53" t="str">
        <x:v>Nguyên liệu</x:v>
      </x:c>
      <x:c r="D48" s="53" t="str">
        <x:v>Đồ mang về</x:v>
      </x:c>
      <x:c r="E48" s="53" t="str">
        <x:v>raw / active</x:v>
      </x:c>
      <x:c r="F48" s="53" t="str">
        <x:v>bao</x:v>
      </x:c>
      <x:c r="G48" s="53" t="str">
        <x:v>bao</x:v>
      </x:c>
      <x:c r="H48" s="54" t="n">
        <x:v>1</x:v>
      </x:c>
      <x:c r="I48" s="55" t="n">
        <x:v>64500</x:v>
      </x:c>
      <x:c r="J48" s="55" t="n">
        <x:v>119</x:v>
      </x:c>
      <x:c r="K48" s="55" t="n">
        <x:v>7675500</x:v>
      </x:c>
      <x:c r="L48" s="55" t="n">
        <x:f>IF(J48&gt;0,K48/J48,I48)</x:f>
        <x:v>64500</x:v>
      </x:c>
      <x:c r="M48" s="55" t="n">
        <x:f>J48*L48</x:f>
        <x:v>7675500</x:v>
      </x:c>
      <x:c r="N48" s="54" t="n">
        <x:v>119</x:v>
      </x:c>
      <x:c r="O48" s="54" t="n">
        <x:f>N48-J48</x:f>
        <x:v>0</x:v>
      </x:c>
      <x:c r="P48" s="54" t="n">
        <x:v>0</x:v>
      </x:c>
      <x:c r="Q48" s="54" t="n">
        <x:f>MAX(0,P48-J48)</x:f>
        <x:v>0</x:v>
      </x:c>
      <x:c r="R48" s="53" t="str">
        <x:v>Có</x:v>
      </x:c>
      <x:c r="S48" s="53" t="str">
        <x:v>1 bao = 1 bao</x:v>
      </x:c>
      <x:c r="T48" s="53" t="str">
        <x:v>active:3</x:v>
      </x:c>
      <x:c r="U48" s="56" t="str">
        <x:v>2026-06-30 14:56:10</x:v>
      </x:c>
    </x:row>
    <x:row r="49">
      <x:c r="A49" s="52" t="str">
        <x:v>MV08</x:v>
      </x:c>
      <x:c r="B49" s="53" t="str">
        <x:v>Ly uống 1 lần</x:v>
      </x:c>
      <x:c r="C49" s="53" t="str">
        <x:v>Nguyên liệu</x:v>
      </x:c>
      <x:c r="D49" s="53" t="str">
        <x:v>Ly</x:v>
      </x:c>
      <x:c r="E49" s="53" t="str">
        <x:v>raw / active</x:v>
      </x:c>
      <x:c r="F49" s="53" t="str">
        <x:v>loc</x:v>
      </x:c>
      <x:c r="G49" s="53" t="str">
        <x:v>loc</x:v>
      </x:c>
      <x:c r="H49" s="54" t="n">
        <x:v>1</x:v>
      </x:c>
      <x:c r="I49" s="55" t="n">
        <x:v>4500</x:v>
      </x:c>
      <x:c r="J49" s="55" t="n">
        <x:v>126</x:v>
      </x:c>
      <x:c r="K49" s="55" t="n">
        <x:v>782000</x:v>
      </x:c>
      <x:c r="L49" s="55" t="n">
        <x:f>IF(J49&gt;0,K49/J49,I49)</x:f>
        <x:v>6206.349206349207</x:v>
      </x:c>
      <x:c r="M49" s="55" t="n">
        <x:f>J49*L49</x:f>
        <x:v>782000</x:v>
      </x:c>
      <x:c r="N49" s="54" t="n">
        <x:v>126</x:v>
      </x:c>
      <x:c r="O49" s="54" t="n">
        <x:f>N49-J49</x:f>
        <x:v>0</x:v>
      </x:c>
      <x:c r="P49" s="54" t="n">
        <x:v>0</x:v>
      </x:c>
      <x:c r="Q49" s="54" t="n">
        <x:f>MAX(0,P49-J49)</x:f>
        <x:v>0</x:v>
      </x:c>
      <x:c r="R49" s="53" t="str">
        <x:v>Có</x:v>
      </x:c>
      <x:c r="S49" s="53" t="str">
        <x:v>1 loc = 1 loc</x:v>
      </x:c>
      <x:c r="T49" s="53" t="str">
        <x:v>active:3</x:v>
      </x:c>
      <x:c r="U49" s="56" t="str">
        <x:v>2026-06-30 14:39:33</x:v>
      </x:c>
    </x:row>
    <x:row r="50">
      <x:c r="A50" s="52" t="str">
        <x:v>MV09</x:v>
      </x:c>
      <x:c r="B50" s="53" t="str">
        <x:v>Thun cột hộp</x:v>
      </x:c>
      <x:c r="C50" s="53" t="str">
        <x:v>Nguyên liệu</x:v>
      </x:c>
      <x:c r="D50" s="53" t="str">
        <x:v>Đồ mang về</x:v>
      </x:c>
      <x:c r="E50" s="53" t="str">
        <x:v>raw / active</x:v>
      </x:c>
      <x:c r="F50" s="53" t="str">
        <x:v>tui</x:v>
      </x:c>
      <x:c r="G50" s="53" t="str">
        <x:v>tui</x:v>
      </x:c>
      <x:c r="H50" s="54" t="n">
        <x:v>1</x:v>
      </x:c>
      <x:c r="I50" s="55" t="n">
        <x:v>44000</x:v>
      </x:c>
      <x:c r="J50" s="55" t="n">
        <x:v>10</x:v>
      </x:c>
      <x:c r="K50" s="55" t="n">
        <x:v>441000</x:v>
      </x:c>
      <x:c r="L50" s="55" t="n">
        <x:f>IF(J50&gt;0,K50/J50,I50)</x:f>
        <x:v>44100</x:v>
      </x:c>
      <x:c r="M50" s="55" t="n">
        <x:f>J50*L50</x:f>
        <x:v>441000</x:v>
      </x:c>
      <x:c r="N50" s="54" t="n">
        <x:v>10</x:v>
      </x:c>
      <x:c r="O50" s="54" t="n">
        <x:f>N50-J50</x:f>
        <x:v>0</x:v>
      </x:c>
      <x:c r="P50" s="54" t="n">
        <x:v>0</x:v>
      </x:c>
      <x:c r="Q50" s="54" t="n">
        <x:f>MAX(0,P50-J50)</x:f>
        <x:v>0</x:v>
      </x:c>
      <x:c r="R50" s="53" t="str">
        <x:v>Có</x:v>
      </x:c>
      <x:c r="S50" s="53" t="str">
        <x:v>1 tui = 1 tui</x:v>
      </x:c>
      <x:c r="T50" s="53" t="str">
        <x:v>active:2</x:v>
      </x:c>
      <x:c r="U50" s="56" t="str">
        <x:v>2026-06-30 12:19:52</x:v>
      </x:c>
    </x:row>
    <x:row r="51">
      <x:c r="A51" s="52" t="str">
        <x:v>MV10</x:v>
      </x:c>
      <x:c r="B51" s="53" t="str">
        <x:v>Khăn giấy Đại Nam</x:v>
      </x:c>
      <x:c r="C51" s="53" t="str">
        <x:v>Nguyên liệu</x:v>
      </x:c>
      <x:c r="D51" s="53" t="str">
        <x:v>Vệ sinh</x:v>
      </x:c>
      <x:c r="E51" s="53" t="str">
        <x:v>raw / active</x:v>
      </x:c>
      <x:c r="F51" s="53" t="str">
        <x:v>tui</x:v>
      </x:c>
      <x:c r="G51" s="53" t="str">
        <x:v>tui</x:v>
      </x:c>
      <x:c r="H51" s="54" t="n">
        <x:v>1</x:v>
      </x:c>
      <x:c r="I51" s="55" t="n">
        <x:v>42000</x:v>
      </x:c>
      <x:c r="J51" s="55" t="n">
        <x:v>25</x:v>
      </x:c>
      <x:c r="K51" s="55" t="n">
        <x:v>607500</x:v>
      </x:c>
      <x:c r="L51" s="55" t="n">
        <x:f>IF(J51&gt;0,K51/J51,I51)</x:f>
        <x:v>24300</x:v>
      </x:c>
      <x:c r="M51" s="55" t="n">
        <x:f>J51*L51</x:f>
        <x:v>607500</x:v>
      </x:c>
      <x:c r="N51" s="54" t="n">
        <x:v>25</x:v>
      </x:c>
      <x:c r="O51" s="54" t="n">
        <x:f>N51-J51</x:f>
        <x:v>0</x:v>
      </x:c>
      <x:c r="P51" s="54" t="n">
        <x:v>0</x:v>
      </x:c>
      <x:c r="Q51" s="54" t="n">
        <x:f>MAX(0,P51-J51)</x:f>
        <x:v>0</x:v>
      </x:c>
      <x:c r="R51" s="53" t="str">
        <x:v>Có</x:v>
      </x:c>
      <x:c r="S51" s="53" t="str">
        <x:v>1 tui = 1 tui</x:v>
      </x:c>
      <x:c r="T51" s="53" t="str">
        <x:v>active:3</x:v>
      </x:c>
      <x:c r="U51" s="56" t="str">
        <x:v>2026-06-19 01:47:51</x:v>
      </x:c>
    </x:row>
    <x:row r="52">
      <x:c r="A52" s="52" t="str">
        <x:v>N004</x:v>
      </x:c>
      <x:c r="B52" s="53" t="str">
        <x:v>Fanta cam</x:v>
      </x:c>
      <x:c r="C52" s="53" t="str">
        <x:v>Nguyên liệu</x:v>
      </x:c>
      <x:c r="D52" s="53" t="str">
        <x:v>Nước</x:v>
      </x:c>
      <x:c r="E52" s="53" t="str">
        <x:v>raw / active</x:v>
      </x:c>
      <x:c r="F52" s="53" t="str">
        <x:v>lon</x:v>
      </x:c>
      <x:c r="G52" s="53" t="str">
        <x:v>lon</x:v>
      </x:c>
      <x:c r="H52" s="54" t="n">
        <x:v>1</x:v>
      </x:c>
      <x:c r="I52" s="55" t="n">
        <x:v>10000</x:v>
      </x:c>
      <x:c r="J52" s="55" t="n">
        <x:v>48</x:v>
      </x:c>
      <x:c r="K52" s="55" t="n">
        <x:v>480000</x:v>
      </x:c>
      <x:c r="L52" s="55" t="n">
        <x:f>IF(J52&gt;0,K52/J52,I52)</x:f>
        <x:v>10000</x:v>
      </x:c>
      <x:c r="M52" s="55" t="n">
        <x:f>J52*L52</x:f>
        <x:v>480000</x:v>
      </x:c>
      <x:c r="N52" s="54" t="n">
        <x:v>48</x:v>
      </x:c>
      <x:c r="O52" s="54" t="n">
        <x:f>N52-J52</x:f>
        <x:v>0</x:v>
      </x:c>
      <x:c r="P52" s="54" t="n">
        <x:v>0</x:v>
      </x:c>
      <x:c r="Q52" s="54" t="n">
        <x:f>MAX(0,P52-J52)</x:f>
        <x:v>0</x:v>
      </x:c>
      <x:c r="R52" s="53" t="str">
        <x:v>Có</x:v>
      </x:c>
      <x:c r="S52" s="53" t="str">
        <x:v>1 lon = 1 lon</x:v>
      </x:c>
      <x:c r="T52" s="53" t="str">
        <x:v>active:1</x:v>
      </x:c>
      <x:c r="U52" s="56" t="str">
        <x:v>2026-06-30 15:03:08</x:v>
      </x:c>
    </x:row>
    <x:row r="53">
      <x:c r="A53" s="52" t="str">
        <x:v>N005</x:v>
      </x:c>
      <x:c r="B53" s="53" t="str">
        <x:v>Sprite</x:v>
      </x:c>
      <x:c r="C53" s="53" t="str">
        <x:v>Nguyên liệu</x:v>
      </x:c>
      <x:c r="D53" s="53" t="str">
        <x:v>Nước</x:v>
      </x:c>
      <x:c r="E53" s="53" t="str">
        <x:v>raw / active</x:v>
      </x:c>
      <x:c r="F53" s="53" t="str">
        <x:v>lon</x:v>
      </x:c>
      <x:c r="G53" s="53" t="str">
        <x:v>lon</x:v>
      </x:c>
      <x:c r="H53" s="54" t="n">
        <x:v>1</x:v>
      </x:c>
      <x:c r="I53" s="55" t="n">
        <x:v>10000</x:v>
      </x:c>
      <x:c r="J53" s="55" t="n">
        <x:v>43</x:v>
      </x:c>
      <x:c r="K53" s="55" t="n">
        <x:v>430000</x:v>
      </x:c>
      <x:c r="L53" s="55" t="n">
        <x:f>IF(J53&gt;0,K53/J53,I53)</x:f>
        <x:v>10000</x:v>
      </x:c>
      <x:c r="M53" s="55" t="n">
        <x:f>J53*L53</x:f>
        <x:v>430000</x:v>
      </x:c>
      <x:c r="N53" s="54" t="n">
        <x:v>43</x:v>
      </x:c>
      <x:c r="O53" s="54" t="n">
        <x:f>N53-J53</x:f>
        <x:v>0</x:v>
      </x:c>
      <x:c r="P53" s="54" t="n">
        <x:v>0</x:v>
      </x:c>
      <x:c r="Q53" s="54" t="n">
        <x:f>MAX(0,P53-J53)</x:f>
        <x:v>0</x:v>
      </x:c>
      <x:c r="R53" s="53" t="str">
        <x:v>Có</x:v>
      </x:c>
      <x:c r="S53" s="53" t="str">
        <x:v>1 lon = 1 lon</x:v>
      </x:c>
      <x:c r="T53" s="53" t="str">
        <x:v>active:1</x:v>
      </x:c>
      <x:c r="U53" s="56" t="str">
        <x:v>2026-06-30 15:03:08</x:v>
      </x:c>
    </x:row>
    <x:row r="54">
      <x:c r="A54" s="52" t="str">
        <x:v>N006</x:v>
      </x:c>
      <x:c r="B54" s="53" t="str">
        <x:v>Nước đường-thành phẩm</x:v>
      </x:c>
      <x:c r="C54" s="53" t="str">
        <x:v>Thành phẩm sản xuất</x:v>
      </x:c>
      <x:c r="D54" s="53" t="str">
        <x:v>Thành Phẩm</x:v>
      </x:c>
      <x:c r="E54" s="53" t="str">
        <x:v>raw / production_output / active</x:v>
      </x:c>
      <x:c r="F54" s="53" t="str">
        <x:v>lit</x:v>
      </x:c>
      <x:c r="G54" s="53" t="str">
        <x:v>hu</x:v>
      </x:c>
      <x:c r="H54" s="54" t="n">
        <x:v>3</x:v>
      </x:c>
      <x:c r="I54" s="55" t="n">
        <x:v>18046.813538</x:v>
      </x:c>
      <x:c r="J54" s="55" t="n">
        <x:v>14.501</x:v>
      </x:c>
      <x:c r="K54" s="55" t="n">
        <x:v>263615.17388753797</x:v>
      </x:c>
      <x:c r="L54" s="55" t="n">
        <x:f>IF(J54&gt;0,K54/J54,I54)</x:f>
        <x:v>18179.103088582717</x:v>
      </x:c>
      <x:c r="M54" s="55" t="n">
        <x:f>J54*L54</x:f>
        <x:v>263615.17388753797</x:v>
      </x:c>
      <x:c r="N54" s="54" t="n">
        <x:v>14.501</x:v>
      </x:c>
      <x:c r="O54" s="54" t="n">
        <x:f>N54-J54</x:f>
        <x:v>0</x:v>
      </x:c>
      <x:c r="P54" s="54" t="n">
        <x:v>0</x:v>
      </x:c>
      <x:c r="Q54" s="54" t="n">
        <x:f>MAX(0,P54-J54)</x:f>
        <x:v>0</x:v>
      </x:c>
      <x:c r="R54" s="53" t="str">
        <x:v>Có</x:v>
      </x:c>
      <x:c r="S54" s="53" t="str">
        <x:v>1 hu = 3 lit</x:v>
      </x:c>
      <x:c r="T54" s="53" t="str">
        <x:v>active:4</x:v>
      </x:c>
      <x:c r="U54" s="56" t="str">
        <x:v>2026-06-27 03:34:31</x:v>
      </x:c>
    </x:row>
    <x:row r="55">
      <x:c r="A55" s="52" t="str">
        <x:v>N007</x:v>
      </x:c>
      <x:c r="B55" s="53" t="str">
        <x:v>Coca 2.25</x:v>
      </x:c>
      <x:c r="C55" s="53" t="str">
        <x:v>Nguyên liệu</x:v>
      </x:c>
      <x:c r="D55" s="53" t="str">
        <x:v>Nước</x:v>
      </x:c>
      <x:c r="E55" s="53" t="str">
        <x:v>raw / active</x:v>
      </x:c>
      <x:c r="F55" s="53" t="str">
        <x:v>ml</x:v>
      </x:c>
      <x:c r="G55" s="53" t="str">
        <x:v>chai</x:v>
      </x:c>
      <x:c r="H55" s="54" t="n">
        <x:v>2250</x:v>
      </x:c>
      <x:c r="I55" s="55" t="n">
        <x:v>9.703556</x:v>
      </x:c>
      <x:c r="J55" s="55" t="n">
        <x:v>49750</x:v>
      </x:c>
      <x:c r="K55" s="55" t="n">
        <x:v>482751.911</x:v>
      </x:c>
      <x:c r="L55" s="55" t="n">
        <x:f>IF(J55&gt;0,K55/J55,I55)</x:f>
        <x:v>9.703556</x:v>
      </x:c>
      <x:c r="M55" s="55" t="n">
        <x:f>J55*L55</x:f>
        <x:v>482751.911</x:v>
      </x:c>
      <x:c r="N55" s="54" t="n">
        <x:v>49750</x:v>
      </x:c>
      <x:c r="O55" s="54" t="n">
        <x:f>N55-J55</x:f>
        <x:v>0</x:v>
      </x:c>
      <x:c r="P55" s="54" t="n">
        <x:v>0</x:v>
      </x:c>
      <x:c r="Q55" s="54" t="n">
        <x:f>MAX(0,P55-J55)</x:f>
        <x:v>0</x:v>
      </x:c>
      <x:c r="R55" s="53" t="str">
        <x:v>Có</x:v>
      </x:c>
      <x:c r="S55" s="53" t="str">
        <x:v>1 chai = 2250 ml</x:v>
      </x:c>
      <x:c r="T55" s="53" t="str">
        <x:v>active:2</x:v>
      </x:c>
      <x:c r="U55" s="56" t="str">
        <x:v>2026-06-30 11:58:15</x:v>
      </x:c>
    </x:row>
    <x:row r="56">
      <x:c r="A56" s="52" t="str">
        <x:v>NA650</x:v>
      </x:c>
      <x:c r="B56" s="53" t="str">
        <x:v>Nắp 650</x:v>
      </x:c>
      <x:c r="C56" s="53" t="str">
        <x:v>Nguyên liệu</x:v>
      </x:c>
      <x:c r="D56" s="53" t="str">
        <x:v>Ly</x:v>
      </x:c>
      <x:c r="E56" s="53" t="str">
        <x:v>raw / active</x:v>
      </x:c>
      <x:c r="F56" s="53" t="str">
        <x:v>loc</x:v>
      </x:c>
      <x:c r="G56" s="53" t="str">
        <x:v>thung</x:v>
      </x:c>
      <x:c r="H56" s="54" t="n">
        <x:v>40</x:v>
      </x:c>
      <x:c r="I56" s="55" t="n">
        <x:v>7000</x:v>
      </x:c>
      <x:c r="J56" s="55" t="n">
        <x:v>40</x:v>
      </x:c>
      <x:c r="K56" s="55" t="n">
        <x:v>280000</x:v>
      </x:c>
      <x:c r="L56" s="55" t="n">
        <x:f>IF(J56&gt;0,K56/J56,I56)</x:f>
        <x:v>7000</x:v>
      </x:c>
      <x:c r="M56" s="55" t="n">
        <x:f>J56*L56</x:f>
        <x:v>280000</x:v>
      </x:c>
      <x:c r="N56" s="54" t="n">
        <x:v>40</x:v>
      </x:c>
      <x:c r="O56" s="54" t="n">
        <x:f>N56-J56</x:f>
        <x:v>0</x:v>
      </x:c>
      <x:c r="P56" s="54" t="n">
        <x:v>0</x:v>
      </x:c>
      <x:c r="Q56" s="54" t="n">
        <x:f>MAX(0,P56-J56)</x:f>
        <x:v>0</x:v>
      </x:c>
      <x:c r="R56" s="53" t="str">
        <x:v>Có</x:v>
      </x:c>
      <x:c r="S56" s="53" t="str">
        <x:v>1 thung = 40 loc</x:v>
      </x:c>
      <x:c r="T56" s="53" t="str">
        <x:v>active:1</x:v>
      </x:c>
      <x:c r="U56" s="56" t="str">
        <x:v>2026-06-30 13:53:47</x:v>
      </x:c>
    </x:row>
    <x:row r="57">
      <x:c r="A57" s="52" t="str">
        <x:v>NA700</x:v>
      </x:c>
      <x:c r="B57" s="53" t="str">
        <x:v>Nắp 700</x:v>
      </x:c>
      <x:c r="C57" s="53" t="str">
        <x:v>Nguyên liệu</x:v>
      </x:c>
      <x:c r="D57" s="53" t="str">
        <x:v>Ly</x:v>
      </x:c>
      <x:c r="E57" s="53" t="str">
        <x:v>raw / active</x:v>
      </x:c>
      <x:c r="F57" s="53" t="str">
        <x:v>loc</x:v>
      </x:c>
      <x:c r="G57" s="53" t="str">
        <x:v>thung</x:v>
      </x:c>
      <x:c r="H57" s="54" t="n">
        <x:v>20</x:v>
      </x:c>
      <x:c r="I57" s="55" t="n">
        <x:v>11000</x:v>
      </x:c>
      <x:c r="J57" s="55" t="n">
        <x:v>20</x:v>
      </x:c>
      <x:c r="K57" s="55" t="n">
        <x:v>220000</x:v>
      </x:c>
      <x:c r="L57" s="55" t="n">
        <x:f>IF(J57&gt;0,K57/J57,I57)</x:f>
        <x:v>11000</x:v>
      </x:c>
      <x:c r="M57" s="55" t="n">
        <x:f>J57*L57</x:f>
        <x:v>220000</x:v>
      </x:c>
      <x:c r="N57" s="54" t="n">
        <x:v>20</x:v>
      </x:c>
      <x:c r="O57" s="54" t="n">
        <x:f>N57-J57</x:f>
        <x:v>0</x:v>
      </x:c>
      <x:c r="P57" s="54" t="n">
        <x:v>5</x:v>
      </x:c>
      <x:c r="Q57" s="54" t="n">
        <x:f>MAX(0,P57-J57)</x:f>
        <x:v>0</x:v>
      </x:c>
      <x:c r="R57" s="53" t="str">
        <x:v>Có</x:v>
      </x:c>
      <x:c r="S57" s="53" t="str">
        <x:v>1 thung = 20 loc</x:v>
      </x:c>
      <x:c r="T57" s="53" t="str">
        <x:v>active:1</x:v>
      </x:c>
      <x:c r="U57" s="56" t="str">
        <x:v>2026-05-23 06:29:49</x:v>
      </x:c>
    </x:row>
    <x:row r="58">
      <x:c r="A58" s="52" t="str">
        <x:v>NGK3</x:v>
      </x:c>
      <x:c r="B58" s="53" t="str">
        <x:v>Fanta xá xị</x:v>
      </x:c>
      <x:c r="C58" s="53" t="str">
        <x:v>Nguyên liệu</x:v>
      </x:c>
      <x:c r="D58" s="53" t="str">
        <x:v>Nước</x:v>
      </x:c>
      <x:c r="E58" s="53" t="str">
        <x:v>raw / active</x:v>
      </x:c>
      <x:c r="F58" s="53" t="str">
        <x:v>lon</x:v>
      </x:c>
      <x:c r="G58" s="53" t="str">
        <x:v>lon</x:v>
      </x:c>
      <x:c r="H58" s="54" t="n">
        <x:v>1</x:v>
      </x:c>
      <x:c r="I58" s="55" t="n">
        <x:v>10000</x:v>
      </x:c>
      <x:c r="J58" s="55" t="n">
        <x:v>58</x:v>
      </x:c>
      <x:c r="K58" s="55" t="n">
        <x:v>580000</x:v>
      </x:c>
      <x:c r="L58" s="55" t="n">
        <x:f>IF(J58&gt;0,K58/J58,I58)</x:f>
        <x:v>10000</x:v>
      </x:c>
      <x:c r="M58" s="55" t="n">
        <x:f>J58*L58</x:f>
        <x:v>580000</x:v>
      </x:c>
      <x:c r="N58" s="54" t="n">
        <x:v>58</x:v>
      </x:c>
      <x:c r="O58" s="54" t="n">
        <x:f>N58-J58</x:f>
        <x:v>0</x:v>
      </x:c>
      <x:c r="P58" s="54" t="n">
        <x:v>0</x:v>
      </x:c>
      <x:c r="Q58" s="54" t="n">
        <x:f>MAX(0,P58-J58)</x:f>
        <x:v>0</x:v>
      </x:c>
      <x:c r="R58" s="53" t="str">
        <x:v>Có</x:v>
      </x:c>
      <x:c r="S58" s="53" t="str">
        <x:v>1 lon = 1 lon</x:v>
      </x:c>
      <x:c r="T58" s="53" t="str">
        <x:v>active:1</x:v>
      </x:c>
      <x:c r="U58" s="56" t="str">
        <x:v>2026-06-30 15:03:08</x:v>
      </x:c>
    </x:row>
    <x:row r="59">
      <x:c r="A59" s="52" t="str">
        <x:v>NL001</x:v>
      </x:c>
      <x:c r="B59" s="53" t="str">
        <x:v>Bún tàu</x:v>
      </x:c>
      <x:c r="C59" s="53" t="str">
        <x:v>Nguyên liệu</x:v>
      </x:c>
      <x:c r="D59" s="53" t="str">
        <x:v>Nguyên liệu</x:v>
      </x:c>
      <x:c r="E59" s="53" t="str">
        <x:v>raw / active</x:v>
      </x:c>
      <x:c r="F59" s="53" t="str">
        <x:v>g</x:v>
      </x:c>
      <x:c r="G59" s="53" t="str">
        <x:v>goi</x:v>
      </x:c>
      <x:c r="H59" s="54" t="n">
        <x:v>50</x:v>
      </x:c>
      <x:c r="I59" s="55" t="n">
        <x:v>1300</x:v>
      </x:c>
      <x:c r="J59" s="55" t="n">
        <x:v>6750</x:v>
      </x:c>
      <x:c r="K59" s="55" t="n">
        <x:v>6922500</x:v>
      </x:c>
      <x:c r="L59" s="55" t="n">
        <x:f>IF(J59&gt;0,K59/J59,I59)</x:f>
        <x:v>1025.5555555555557</x:v>
      </x:c>
      <x:c r="M59" s="55" t="n">
        <x:f>J59*L59</x:f>
        <x:v>6922500.000000001</x:v>
      </x:c>
      <x:c r="N59" s="54" t="n">
        <x:v>6750</x:v>
      </x:c>
      <x:c r="O59" s="54" t="n">
        <x:f>N59-J59</x:f>
        <x:v>0</x:v>
      </x:c>
      <x:c r="P59" s="54" t="n">
        <x:v>0</x:v>
      </x:c>
      <x:c r="Q59" s="54" t="n">
        <x:f>MAX(0,P59-J59)</x:f>
        <x:v>0</x:v>
      </x:c>
      <x:c r="R59" s="53" t="str">
        <x:v>Có</x:v>
      </x:c>
      <x:c r="S59" s="53" t="str">
        <x:v>1 goi = 50 g</x:v>
      </x:c>
      <x:c r="T59" s="53" t="str">
        <x:v>active:3</x:v>
      </x:c>
      <x:c r="U59" s="56" t="str">
        <x:v>2026-06-30 01:58:34</x:v>
      </x:c>
    </x:row>
    <x:row r="60">
      <x:c r="A60" s="52" t="str">
        <x:v>NL002</x:v>
      </x:c>
      <x:c r="B60" s="53" t="str">
        <x:v>Nấm mèo</x:v>
      </x:c>
      <x:c r="C60" s="53" t="str">
        <x:v>Nguyên liệu</x:v>
      </x:c>
      <x:c r="D60" s="53" t="str">
        <x:v>Nguyên liệu</x:v>
      </x:c>
      <x:c r="E60" s="53" t="str">
        <x:v>raw / active</x:v>
      </x:c>
      <x:c r="F60" s="53" t="str">
        <x:v>g</x:v>
      </x:c>
      <x:c r="G60" s="53" t="str">
        <x:v>kg</x:v>
      </x:c>
      <x:c r="H60" s="54" t="n">
        <x:v>1000</x:v>
      </x:c>
      <x:c r="I60" s="55" t="n">
        <x:v>140</x:v>
      </x:c>
      <x:c r="J60" s="55" t="n">
        <x:v>3165</x:v>
      </x:c>
      <x:c r="K60" s="55" t="n">
        <x:v>438925</x:v>
      </x:c>
      <x:c r="L60" s="55" t="n">
        <x:f>IF(J60&gt;0,K60/J60,I60)</x:f>
        <x:v>138.68088467614535</x:v>
      </x:c>
      <x:c r="M60" s="55" t="n">
        <x:f>J60*L60</x:f>
        <x:v>438925.00000000006</x:v>
      </x:c>
      <x:c r="N60" s="54" t="n">
        <x:v>3165</x:v>
      </x:c>
      <x:c r="O60" s="54" t="n">
        <x:f>N60-J60</x:f>
        <x:v>0</x:v>
      </x:c>
      <x:c r="P60" s="54" t="n">
        <x:v>0</x:v>
      </x:c>
      <x:c r="Q60" s="54" t="n">
        <x:f>MAX(0,P60-J60)</x:f>
        <x:v>0</x:v>
      </x:c>
      <x:c r="R60" s="53" t="str">
        <x:v>Có</x:v>
      </x:c>
      <x:c r="S60" s="53" t="str">
        <x:v>1 kg = 1000 g</x:v>
      </x:c>
      <x:c r="T60" s="53" t="str">
        <x:v>active:4</x:v>
      </x:c>
      <x:c r="U60" s="56" t="str">
        <x:v>2026-07-01 03:16:33</x:v>
      </x:c>
    </x:row>
    <x:row r="61">
      <x:c r="A61" s="52" t="str">
        <x:v>NL003</x:v>
      </x:c>
      <x:c r="B61" s="53" t="str">
        <x:v>Rong biển</x:v>
      </x:c>
      <x:c r="C61" s="53" t="str">
        <x:v>Nguyên liệu</x:v>
      </x:c>
      <x:c r="D61" s="53" t="str">
        <x:v>Nguyên liệu</x:v>
      </x:c>
      <x:c r="E61" s="53" t="str">
        <x:v>raw / active</x:v>
      </x:c>
      <x:c r="F61" s="53" t="str">
        <x:v>g</x:v>
      </x:c>
      <x:c r="G61" s="53" t="str">
        <x:v>kg</x:v>
      </x:c>
      <x:c r="H61" s="54" t="n">
        <x:v>1000</x:v>
      </x:c>
      <x:c r="I61" s="55" t="n">
        <x:v>320</x:v>
      </x:c>
      <x:c r="J61" s="55" t="n">
        <x:v>14000</x:v>
      </x:c>
      <x:c r="K61" s="55" t="n">
        <x:v>4480000</x:v>
      </x:c>
      <x:c r="L61" s="55" t="n">
        <x:f>IF(J61&gt;0,K61/J61,I61)</x:f>
        <x:v>320</x:v>
      </x:c>
      <x:c r="M61" s="55" t="n">
        <x:f>J61*L61</x:f>
        <x:v>4480000</x:v>
      </x:c>
      <x:c r="N61" s="54" t="n">
        <x:v>14000</x:v>
      </x:c>
      <x:c r="O61" s="54" t="n">
        <x:f>N61-J61</x:f>
        <x:v>0</x:v>
      </x:c>
      <x:c r="P61" s="54" t="n">
        <x:v>0</x:v>
      </x:c>
      <x:c r="Q61" s="54" t="n">
        <x:f>MAX(0,P61-J61)</x:f>
        <x:v>0</x:v>
      </x:c>
      <x:c r="R61" s="53" t="str">
        <x:v>Có</x:v>
      </x:c>
      <x:c r="S61" s="53" t="str">
        <x:v>1 kg = 1000 g</x:v>
      </x:c>
      <x:c r="T61" s="53" t="str">
        <x:v>active:4</x:v>
      </x:c>
      <x:c r="U61" s="56" t="str">
        <x:v>2026-06-30 12:08:02</x:v>
      </x:c>
    </x:row>
    <x:row r="62">
      <x:c r="A62" s="52" t="str">
        <x:v>NL004</x:v>
      </x:c>
      <x:c r="B62" s="53" t="str">
        <x:v>Khổ qua</x:v>
      </x:c>
      <x:c r="C62" s="53" t="str">
        <x:v>Nguyên liệu</x:v>
      </x:c>
      <x:c r="D62" s="53" t="str">
        <x:v>Rau, củ</x:v>
      </x:c>
      <x:c r="E62" s="53" t="str">
        <x:v>raw / active</x:v>
      </x:c>
      <x:c r="F62" s="53" t="str">
        <x:v>kg</x:v>
      </x:c>
      <x:c r="G62" s="53" t="str">
        <x:v>kg</x:v>
      </x:c>
      <x:c r="H62" s="54" t="n">
        <x:v>1</x:v>
      </x:c>
      <x:c r="I62" s="55" t="n">
        <x:v>18000</x:v>
      </x:c>
      <x:c r="J62" s="55" t="n">
        <x:v>4</x:v>
      </x:c>
      <x:c r="K62" s="55" t="n">
        <x:v>87000</x:v>
      </x:c>
      <x:c r="L62" s="55" t="n">
        <x:f>IF(J62&gt;0,K62/J62,I62)</x:f>
        <x:v>21750</x:v>
      </x:c>
      <x:c r="M62" s="55" t="n">
        <x:f>J62*L62</x:f>
        <x:v>87000</x:v>
      </x:c>
      <x:c r="N62" s="54" t="n">
        <x:v>4</x:v>
      </x:c>
      <x:c r="O62" s="54" t="n">
        <x:f>N62-J62</x:f>
        <x:v>0</x:v>
      </x:c>
      <x:c r="P62" s="54" t="n">
        <x:v>0</x:v>
      </x:c>
      <x:c r="Q62" s="54" t="n">
        <x:f>MAX(0,P62-J62)</x:f>
        <x:v>0</x:v>
      </x:c>
      <x:c r="R62" s="53" t="str">
        <x:v>Có</x:v>
      </x:c>
      <x:c r="S62" s="53" t="str">
        <x:v>1 kg = 1 kg</x:v>
      </x:c>
      <x:c r="T62" s="53" t="str">
        <x:v>active:3</x:v>
      </x:c>
      <x:c r="U62" s="56" t="str">
        <x:v>2026-07-01 03:16:07</x:v>
      </x:c>
    </x:row>
    <x:row r="63">
      <x:c r="A63" s="52" t="str">
        <x:v>NL005</x:v>
      </x:c>
      <x:c r="B63" s="53" t="str">
        <x:v>Nấm hương</x:v>
      </x:c>
      <x:c r="C63" s="53" t="str">
        <x:v>Nguyên liệu</x:v>
      </x:c>
      <x:c r="D63" s="53" t="str">
        <x:v>Rau, củ</x:v>
      </x:c>
      <x:c r="E63" s="53" t="str">
        <x:v>raw / active</x:v>
      </x:c>
      <x:c r="F63" s="53" t="str">
        <x:v>kg</x:v>
      </x:c>
      <x:c r="G63" s="53" t="str">
        <x:v>kg</x:v>
      </x:c>
      <x:c r="H63" s="54" t="n">
        <x:v>1</x:v>
      </x:c>
      <x:c r="I63" s="55" t="n">
        <x:v>250000</x:v>
      </x:c>
      <x:c r="J63" s="55" t="n">
        <x:v>1</x:v>
      </x:c>
      <x:c r="K63" s="55" t="n">
        <x:v>250000</x:v>
      </x:c>
      <x:c r="L63" s="55" t="n">
        <x:f>IF(J63&gt;0,K63/J63,I63)</x:f>
        <x:v>250000</x:v>
      </x:c>
      <x:c r="M63" s="55" t="n">
        <x:f>J63*L63</x:f>
        <x:v>250000</x:v>
      </x:c>
      <x:c r="N63" s="54" t="n">
        <x:v>1</x:v>
      </x:c>
      <x:c r="O63" s="54" t="n">
        <x:f>N63-J63</x:f>
        <x:v>0</x:v>
      </x:c>
      <x:c r="P63" s="54" t="n">
        <x:v>0</x:v>
      </x:c>
      <x:c r="Q63" s="54" t="n">
        <x:f>MAX(0,P63-J63)</x:f>
        <x:v>0</x:v>
      </x:c>
      <x:c r="R63" s="53" t="str">
        <x:v>Có</x:v>
      </x:c>
      <x:c r="S63" s="53" t="str">
        <x:v>1 kg = 1 kg</x:v>
      </x:c>
      <x:c r="T63" s="53" t="str">
        <x:v>active:1</x:v>
      </x:c>
      <x:c r="U63" s="56" t="str">
        <x:v>2026-07-01 03:16:07</x:v>
      </x:c>
    </x:row>
    <x:row r="64">
      <x:c r="A64" s="52" t="str">
        <x:v>NL006</x:v>
      </x:c>
      <x:c r="B64" s="53" t="str">
        <x:v>Mộc</x:v>
      </x:c>
      <x:c r="C64" s="53" t="str">
        <x:v>Nguyên liệu</x:v>
      </x:c>
      <x:c r="D64" s="53" t="str">
        <x:v>Thịt</x:v>
      </x:c>
      <x:c r="E64" s="53" t="str">
        <x:v>raw / active</x:v>
      </x:c>
      <x:c r="F64" s="53" t="str">
        <x:v>kg</x:v>
      </x:c>
      <x:c r="G64" s="53" t="str">
        <x:v>kg</x:v>
      </x:c>
      <x:c r="H64" s="54" t="n">
        <x:v>1</x:v>
      </x:c>
      <x:c r="I64" s="55" t="n">
        <x:v>130000</x:v>
      </x:c>
      <x:c r="J64" s="55" t="n">
        <x:v>1</x:v>
      </x:c>
      <x:c r="K64" s="55" t="n">
        <x:v>130000</x:v>
      </x:c>
      <x:c r="L64" s="55" t="n">
        <x:f>IF(J64&gt;0,K64/J64,I64)</x:f>
        <x:v>130000</x:v>
      </x:c>
      <x:c r="M64" s="55" t="n">
        <x:f>J64*L64</x:f>
        <x:v>130000</x:v>
      </x:c>
      <x:c r="N64" s="54" t="n">
        <x:v>1</x:v>
      </x:c>
      <x:c r="O64" s="54" t="n">
        <x:f>N64-J64</x:f>
        <x:v>0</x:v>
      </x:c>
      <x:c r="P64" s="54" t="n">
        <x:v>0</x:v>
      </x:c>
      <x:c r="Q64" s="54" t="n">
        <x:f>MAX(0,P64-J64)</x:f>
        <x:v>0</x:v>
      </x:c>
      <x:c r="R64" s="53" t="str">
        <x:v>Có</x:v>
      </x:c>
      <x:c r="S64" s="53" t="str">
        <x:v>1 kg = 1 kg</x:v>
      </x:c>
      <x:c r="T64" s="53" t="str">
        <x:v>active:1</x:v>
      </x:c>
      <x:c r="U64" s="56" t="str">
        <x:v>2026-07-01 03:16:07</x:v>
      </x:c>
    </x:row>
    <x:row r="65">
      <x:c r="A65" s="52" t="str">
        <x:v>NM01</x:v>
      </x:c>
      <x:c r="B65" s="53" t="str">
        <x:v>Nước mắm-thành phẩm</x:v>
      </x:c>
      <x:c r="C65" s="53" t="str">
        <x:v>Thành phẩm sản xuất</x:v>
      </x:c>
      <x:c r="D65" s="53" t="str">
        <x:v>Thành Phẩm</x:v>
      </x:c>
      <x:c r="E65" s="53" t="str">
        <x:v>raw / production_output / active</x:v>
      </x:c>
      <x:c r="F65" s="53" t="str">
        <x:v>ml</x:v>
      </x:c>
      <x:c r="G65" s="53" t="str">
        <x:v>lit</x:v>
      </x:c>
      <x:c r="H65" s="54" t="n">
        <x:v>1000</x:v>
      </x:c>
      <x:c r="I65" s="55" t="n">
        <x:v>0</x:v>
      </x:c>
      <x:c r="J65" s="55" t="n">
        <x:v>0</x:v>
      </x:c>
      <x:c r="K65" s="55" t="n">
        <x:v>0</x:v>
      </x:c>
      <x:c r="L65" s="55" t="n">
        <x:f>IF(J65&gt;0,K65/J65,I65)</x:f>
        <x:v>0</x:v>
      </x:c>
      <x:c r="M65" s="55" t="n">
        <x:f>J65*L65</x:f>
        <x:v>0</x:v>
      </x:c>
      <x:c r="N65" s="54" t="n">
        <x:v>0</x:v>
      </x:c>
      <x:c r="O65" s="54" t="n">
        <x:f>N65-J65</x:f>
        <x:v>0</x:v>
      </x:c>
      <x:c r="P65" s="54" t="n">
        <x:v>0</x:v>
      </x:c>
      <x:c r="Q65" s="54" t="n">
        <x:f>MAX(0,P65-J65)</x:f>
        <x:v>0</x:v>
      </x:c>
      <x:c r="R65" s="53" t="str">
        <x:v>Có</x:v>
      </x:c>
      <x:c r="S65" s="53" t="str">
        <x:v>1 lit = 1000 ml</x:v>
      </x:c>
      <x:c r="T65" s="53" t="str"/>
      <x:c r="U65" s="56" t="str">
        <x:v>2026-06-21 11:50:58</x:v>
      </x:c>
    </x:row>
    <x:row r="66">
      <x:c r="A66" s="52" t="str">
        <x:v>NM02</x:v>
      </x:c>
      <x:c r="B66" s="53" t="str">
        <x:v>Nước mắm-Phước Hải</x:v>
      </x:c>
      <x:c r="C66" s="53" t="str">
        <x:v>Thành phẩm sản xuất</x:v>
      </x:c>
      <x:c r="D66" s="53" t="str">
        <x:v>Gia vị</x:v>
      </x:c>
      <x:c r="E66" s="53" t="str">
        <x:v>raw / production_output / active</x:v>
      </x:c>
      <x:c r="F66" s="53" t="str">
        <x:v>ml</x:v>
      </x:c>
      <x:c r="G66" s="53" t="str">
        <x:v>lit</x:v>
      </x:c>
      <x:c r="H66" s="54" t="n">
        <x:v>1000</x:v>
      </x:c>
      <x:c r="I66" s="55" t="n">
        <x:v>66.895416</x:v>
      </x:c>
      <x:c r="J66" s="55" t="n">
        <x:v>25125</x:v>
      </x:c>
      <x:c r="K66" s="55" t="n">
        <x:v>342753432.25395006</x:v>
      </x:c>
      <x:c r="L66" s="55" t="n">
        <x:f>IF(J66&gt;0,K66/J66,I66)</x:f>
        <x:v>13641.92765189851</x:v>
      </x:c>
      <x:c r="M66" s="55" t="n">
        <x:f>J66*L66</x:f>
        <x:v>342753432.25395006</x:v>
      </x:c>
      <x:c r="N66" s="54" t="n">
        <x:v>25125</x:v>
      </x:c>
      <x:c r="O66" s="54" t="n">
        <x:f>N66-J66</x:f>
        <x:v>0</x:v>
      </x:c>
      <x:c r="P66" s="54" t="n">
        <x:v>0</x:v>
      </x:c>
      <x:c r="Q66" s="54" t="n">
        <x:f>MAX(0,P66-J66)</x:f>
        <x:v>0</x:v>
      </x:c>
      <x:c r="R66" s="53" t="str">
        <x:v>Có</x:v>
      </x:c>
      <x:c r="S66" s="53" t="str">
        <x:v>1 lit = 1000 ml</x:v>
      </x:c>
      <x:c r="T66" s="53" t="str">
        <x:v>active:10</x:v>
      </x:c>
      <x:c r="U66" s="56" t="str">
        <x:v>2026-06-28 15:22:04</x:v>
      </x:c>
    </x:row>
    <x:row r="67">
      <x:c r="A67" s="52" t="str">
        <x:v>NM40</x:v>
      </x:c>
      <x:c r="B67" s="53" t="str">
        <x:v>Nước mắm Hạnh Phúc 40</x:v>
      </x:c>
      <x:c r="C67" s="53" t="str">
        <x:v>Nguyên liệu</x:v>
      </x:c>
      <x:c r="D67" s="53" t="str">
        <x:v>Gia vị</x:v>
      </x:c>
      <x:c r="E67" s="53" t="str">
        <x:v>raw / active</x:v>
      </x:c>
      <x:c r="F67" s="53" t="str">
        <x:v>chai</x:v>
      </x:c>
      <x:c r="G67" s="53" t="str">
        <x:v>chai</x:v>
      </x:c>
      <x:c r="H67" s="54" t="n">
        <x:v>1</x:v>
      </x:c>
      <x:c r="I67" s="55" t="n">
        <x:v>479000</x:v>
      </x:c>
      <x:c r="J67" s="55" t="n">
        <x:v>1</x:v>
      </x:c>
      <x:c r="K67" s="55" t="n">
        <x:v>479000</x:v>
      </x:c>
      <x:c r="L67" s="55" t="n">
        <x:f>IF(J67&gt;0,K67/J67,I67)</x:f>
        <x:v>479000</x:v>
      </x:c>
      <x:c r="M67" s="55" t="n">
        <x:f>J67*L67</x:f>
        <x:v>479000</x:v>
      </x:c>
      <x:c r="N67" s="54" t="n">
        <x:v>1</x:v>
      </x:c>
      <x:c r="O67" s="54" t="n">
        <x:f>N67-J67</x:f>
        <x:v>0</x:v>
      </x:c>
      <x:c r="P67" s="54" t="n">
        <x:v>0</x:v>
      </x:c>
      <x:c r="Q67" s="54" t="n">
        <x:f>MAX(0,P67-J67)</x:f>
        <x:v>0</x:v>
      </x:c>
      <x:c r="R67" s="53" t="str">
        <x:v>Có</x:v>
      </x:c>
      <x:c r="S67" s="53" t="str">
        <x:v>1 chai = 1 chai</x:v>
      </x:c>
      <x:c r="T67" s="53" t="str">
        <x:v>active:1</x:v>
      </x:c>
      <x:c r="U67" s="56" t="str">
        <x:v>2026-05-23 06:29:49</x:v>
      </x:c>
    </x:row>
    <x:row r="68">
      <x:c r="A68" s="52" t="str">
        <x:v>NM50</x:v>
      </x:c>
      <x:c r="B68" s="53" t="str">
        <x:v>Nước mắm Hạnh Phúc 50</x:v>
      </x:c>
      <x:c r="C68" s="53" t="str">
        <x:v>Nguyên liệu</x:v>
      </x:c>
      <x:c r="D68" s="53" t="str">
        <x:v>Gia vị</x:v>
      </x:c>
      <x:c r="E68" s="53" t="str">
        <x:v>raw / active</x:v>
      </x:c>
      <x:c r="F68" s="53" t="str">
        <x:v>ml</x:v>
      </x:c>
      <x:c r="G68" s="53" t="str">
        <x:v>chai</x:v>
      </x:c>
      <x:c r="H68" s="54" t="n">
        <x:v>500</x:v>
      </x:c>
      <x:c r="I68" s="55" t="n">
        <x:v>234.038</x:v>
      </x:c>
      <x:c r="J68" s="55" t="n">
        <x:v>10446</x:v>
      </x:c>
      <x:c r="K68" s="55" t="n">
        <x:v>2444760.948</x:v>
      </x:c>
      <x:c r="L68" s="55" t="n">
        <x:f>IF(J68&gt;0,K68/J68,I68)</x:f>
        <x:v>234.03799999999998</x:v>
      </x:c>
      <x:c r="M68" s="55" t="n">
        <x:f>J68*L68</x:f>
        <x:v>2444760.948</x:v>
      </x:c>
      <x:c r="N68" s="54" t="n">
        <x:v>10446</x:v>
      </x:c>
      <x:c r="O68" s="54" t="n">
        <x:f>N68-J68</x:f>
        <x:v>0</x:v>
      </x:c>
      <x:c r="P68" s="54" t="n">
        <x:v>0</x:v>
      </x:c>
      <x:c r="Q68" s="54" t="n">
        <x:f>MAX(0,P68-J68)</x:f>
        <x:v>0</x:v>
      </x:c>
      <x:c r="R68" s="53" t="str">
        <x:v>Có</x:v>
      </x:c>
      <x:c r="S68" s="53" t="str">
        <x:v>1 chai = 500 ml</x:v>
      </x:c>
      <x:c r="T68" s="53" t="str">
        <x:v>active:3</x:v>
      </x:c>
      <x:c r="U68" s="56" t="str">
        <x:v>2026-06-30 13:56:29</x:v>
      </x:c>
    </x:row>
    <x:row r="69">
      <x:c r="A69" s="52" t="str">
        <x:v>NM60</x:v>
      </x:c>
      <x:c r="B69" s="53" t="str">
        <x:v>Nước mắm Hạnh Phúc 60</x:v>
      </x:c>
      <x:c r="C69" s="53" t="str">
        <x:v>Nguyên liệu</x:v>
      </x:c>
      <x:c r="D69" s="53" t="str">
        <x:v>Gia vị</x:v>
      </x:c>
      <x:c r="E69" s="53" t="str">
        <x:v>raw / active</x:v>
      </x:c>
      <x:c r="F69" s="53" t="str">
        <x:v>ml</x:v>
      </x:c>
      <x:c r="G69" s="53" t="str">
        <x:v>chai</x:v>
      </x:c>
      <x:c r="H69" s="54" t="n">
        <x:v>500</x:v>
      </x:c>
      <x:c r="I69" s="55" t="n">
        <x:v>276.666</x:v>
      </x:c>
      <x:c r="J69" s="55" t="n">
        <x:v>28500</x:v>
      </x:c>
      <x:c r="K69" s="55" t="n">
        <x:v>7884981</x:v>
      </x:c>
      <x:c r="L69" s="55" t="n">
        <x:f>IF(J69&gt;0,K69/J69,I69)</x:f>
        <x:v>276.666</x:v>
      </x:c>
      <x:c r="M69" s="55" t="n">
        <x:f>J69*L69</x:f>
        <x:v>7884981</x:v>
      </x:c>
      <x:c r="N69" s="54" t="n">
        <x:v>28500</x:v>
      </x:c>
      <x:c r="O69" s="54" t="n">
        <x:f>N69-J69</x:f>
        <x:v>0</x:v>
      </x:c>
      <x:c r="P69" s="54" t="n">
        <x:v>0</x:v>
      </x:c>
      <x:c r="Q69" s="54" t="n">
        <x:f>MAX(0,P69-J69)</x:f>
        <x:v>0</x:v>
      </x:c>
      <x:c r="R69" s="53" t="str">
        <x:v>Có</x:v>
      </x:c>
      <x:c r="S69" s="53" t="str">
        <x:v>1 chai = 500 ml</x:v>
      </x:c>
      <x:c r="T69" s="53" t="str">
        <x:v>active:3</x:v>
      </x:c>
      <x:c r="U69" s="56" t="str">
        <x:v>2026-06-30 13:54:50</x:v>
      </x:c>
    </x:row>
    <x:row r="70">
      <x:c r="A70" s="52" t="str">
        <x:v>R001</x:v>
      </x:c>
      <x:c r="B70" s="53" t="str">
        <x:v>Hành tím</x:v>
      </x:c>
      <x:c r="C70" s="53" t="str">
        <x:v>Nguyên liệu</x:v>
      </x:c>
      <x:c r="D70" s="53" t="str">
        <x:v>Rau, củ</x:v>
      </x:c>
      <x:c r="E70" s="53" t="str">
        <x:v>raw / active</x:v>
      </x:c>
      <x:c r="F70" s="53" t="str">
        <x:v>g</x:v>
      </x:c>
      <x:c r="G70" s="53" t="str">
        <x:v>kg</x:v>
      </x:c>
      <x:c r="H70" s="54" t="n">
        <x:v>1000</x:v>
      </x:c>
      <x:c r="I70" s="55" t="n">
        <x:v>17</x:v>
      </x:c>
      <x:c r="J70" s="55" t="n">
        <x:v>6708</x:v>
      </x:c>
      <x:c r="K70" s="55" t="n">
        <x:v>114036</x:v>
      </x:c>
      <x:c r="L70" s="55" t="n">
        <x:f>IF(J70&gt;0,K70/J70,I70)</x:f>
        <x:v>17</x:v>
      </x:c>
      <x:c r="M70" s="55" t="n">
        <x:f>J70*L70</x:f>
        <x:v>114036</x:v>
      </x:c>
      <x:c r="N70" s="54" t="n">
        <x:v>6708</x:v>
      </x:c>
      <x:c r="O70" s="54" t="n">
        <x:f>N70-J70</x:f>
        <x:v>0</x:v>
      </x:c>
      <x:c r="P70" s="54" t="n">
        <x:v>0</x:v>
      </x:c>
      <x:c r="Q70" s="54" t="n">
        <x:f>MAX(0,P70-J70)</x:f>
        <x:v>0</x:v>
      </x:c>
      <x:c r="R70" s="53" t="str">
        <x:v>Có</x:v>
      </x:c>
      <x:c r="S70" s="53" t="str">
        <x:v>1 kg = 1000 g</x:v>
      </x:c>
      <x:c r="T70" s="53" t="str">
        <x:v>active:2</x:v>
      </x:c>
      <x:c r="U70" s="56" t="str">
        <x:v>2026-06-30 02:04:12</x:v>
      </x:c>
    </x:row>
    <x:row r="71">
      <x:c r="A71" s="52" t="str">
        <x:v>R002</x:v>
      </x:c>
      <x:c r="B71" s="53" t="str">
        <x:v>Hành tây</x:v>
      </x:c>
      <x:c r="C71" s="53" t="str">
        <x:v>Nguyên liệu</x:v>
      </x:c>
      <x:c r="D71" s="53" t="str">
        <x:v>Rau, củ</x:v>
      </x:c>
      <x:c r="E71" s="53" t="str">
        <x:v>raw / active</x:v>
      </x:c>
      <x:c r="F71" s="53" t="str">
        <x:v>g</x:v>
      </x:c>
      <x:c r="G71" s="53" t="str">
        <x:v>kg</x:v>
      </x:c>
      <x:c r="H71" s="54" t="n">
        <x:v>1000</x:v>
      </x:c>
      <x:c r="I71" s="55" t="n">
        <x:v>14</x:v>
      </x:c>
      <x:c r="J71" s="55" t="n">
        <x:v>2700</x:v>
      </x:c>
      <x:c r="K71" s="55" t="n">
        <x:v>37800</x:v>
      </x:c>
      <x:c r="L71" s="55" t="n">
        <x:f>IF(J71&gt;0,K71/J71,I71)</x:f>
        <x:v>14</x:v>
      </x:c>
      <x:c r="M71" s="55" t="n">
        <x:f>J71*L71</x:f>
        <x:v>37800</x:v>
      </x:c>
      <x:c r="N71" s="54" t="n">
        <x:v>2700</x:v>
      </x:c>
      <x:c r="O71" s="54" t="n">
        <x:f>N71-J71</x:f>
        <x:v>0</x:v>
      </x:c>
      <x:c r="P71" s="54" t="n">
        <x:v>0</x:v>
      </x:c>
      <x:c r="Q71" s="54" t="n">
        <x:f>MAX(0,P71-J71)</x:f>
        <x:v>0</x:v>
      </x:c>
      <x:c r="R71" s="53" t="str">
        <x:v>Có</x:v>
      </x:c>
      <x:c r="S71" s="53" t="str">
        <x:v>1 kg = 1000 g</x:v>
      </x:c>
      <x:c r="T71" s="53" t="str">
        <x:v>active:1</x:v>
      </x:c>
      <x:c r="U71" s="56" t="str">
        <x:v>2026-06-30 01:58:34</x:v>
      </x:c>
    </x:row>
    <x:row r="72">
      <x:c r="A72" s="52" t="str">
        <x:v>R003</x:v>
      </x:c>
      <x:c r="B72" s="53" t="str">
        <x:v>Hành lá</x:v>
      </x:c>
      <x:c r="C72" s="53" t="str">
        <x:v>Nguyên liệu</x:v>
      </x:c>
      <x:c r="D72" s="53" t="str">
        <x:v>Rau, củ</x:v>
      </x:c>
      <x:c r="E72" s="53" t="str">
        <x:v>raw / active</x:v>
      </x:c>
      <x:c r="F72" s="53" t="str">
        <x:v>g</x:v>
      </x:c>
      <x:c r="G72" s="53" t="str">
        <x:v>kg</x:v>
      </x:c>
      <x:c r="H72" s="54" t="n">
        <x:v>1000</x:v>
      </x:c>
      <x:c r="I72" s="55" t="n">
        <x:v>42</x:v>
      </x:c>
      <x:c r="J72" s="55" t="n">
        <x:v>53200</x:v>
      </x:c>
      <x:c r="K72" s="55" t="n">
        <x:v>1760500</x:v>
      </x:c>
      <x:c r="L72" s="55" t="n">
        <x:f>IF(J72&gt;0,K72/J72,I72)</x:f>
        <x:v>33.0921052631579</x:v>
      </x:c>
      <x:c r="M72" s="55" t="n">
        <x:f>J72*L72</x:f>
        <x:v>1760500.0000000002</x:v>
      </x:c>
      <x:c r="N72" s="54" t="n">
        <x:v>53200</x:v>
      </x:c>
      <x:c r="O72" s="54" t="n">
        <x:f>N72-J72</x:f>
        <x:v>0</x:v>
      </x:c>
      <x:c r="P72" s="54" t="n">
        <x:v>0</x:v>
      </x:c>
      <x:c r="Q72" s="54" t="n">
        <x:f>MAX(0,P72-J72)</x:f>
        <x:v>0</x:v>
      </x:c>
      <x:c r="R72" s="53" t="str">
        <x:v>Có</x:v>
      </x:c>
      <x:c r="S72" s="53" t="str">
        <x:v>1 kg = 1000 g</x:v>
      </x:c>
      <x:c r="T72" s="53" t="str">
        <x:v>active:23</x:v>
      </x:c>
      <x:c r="U72" s="56" t="str">
        <x:v>2026-07-01 03:16:07</x:v>
      </x:c>
    </x:row>
    <x:row r="73">
      <x:c r="A73" s="52" t="str">
        <x:v>R004</x:v>
      </x:c>
      <x:c r="B73" s="53" t="str">
        <x:v>Sả</x:v>
      </x:c>
      <x:c r="C73" s="53" t="str">
        <x:v>Nguyên liệu</x:v>
      </x:c>
      <x:c r="D73" s="53" t="str">
        <x:v>Rau, củ</x:v>
      </x:c>
      <x:c r="E73" s="53" t="str">
        <x:v>raw / active</x:v>
      </x:c>
      <x:c r="F73" s="53" t="str">
        <x:v>g</x:v>
      </x:c>
      <x:c r="G73" s="53" t="str">
        <x:v>kg</x:v>
      </x:c>
      <x:c r="H73" s="54" t="n">
        <x:v>1000</x:v>
      </x:c>
      <x:c r="I73" s="55" t="n">
        <x:v>20</x:v>
      </x:c>
      <x:c r="J73" s="55" t="n">
        <x:v>0</x:v>
      </x:c>
      <x:c r="K73" s="55" t="n">
        <x:v>0</x:v>
      </x:c>
      <x:c r="L73" s="55" t="n">
        <x:f>IF(J73&gt;0,K73/J73,I73)</x:f>
        <x:v>20</x:v>
      </x:c>
      <x:c r="M73" s="55" t="n">
        <x:f>J73*L73</x:f>
        <x:v>0</x:v>
      </x:c>
      <x:c r="N73" s="54" t="n">
        <x:v>0</x:v>
      </x:c>
      <x:c r="O73" s="54" t="n">
        <x:f>N73-J73</x:f>
        <x:v>0</x:v>
      </x:c>
      <x:c r="P73" s="54" t="n">
        <x:v>0</x:v>
      </x:c>
      <x:c r="Q73" s="54" t="n">
        <x:f>MAX(0,P73-J73)</x:f>
        <x:v>0</x:v>
      </x:c>
      <x:c r="R73" s="53" t="str">
        <x:v>Có</x:v>
      </x:c>
      <x:c r="S73" s="53" t="str">
        <x:v>1 kg = 1000 g</x:v>
      </x:c>
      <x:c r="T73" s="53" t="str"/>
      <x:c r="U73" s="56" t="str">
        <x:v>2026-06-30 02:03:41</x:v>
      </x:c>
    </x:row>
    <x:row r="74">
      <x:c r="A74" s="52" t="str">
        <x:v>R005</x:v>
      </x:c>
      <x:c r="B74" s="53" t="str">
        <x:v>Ớt đỏ</x:v>
      </x:c>
      <x:c r="C74" s="53" t="str">
        <x:v>Nguyên liệu</x:v>
      </x:c>
      <x:c r="D74" s="53" t="str">
        <x:v>Rau, củ</x:v>
      </x:c>
      <x:c r="E74" s="53" t="str">
        <x:v>raw / active</x:v>
      </x:c>
      <x:c r="F74" s="53" t="str">
        <x:v>kg</x:v>
      </x:c>
      <x:c r="G74" s="53" t="str">
        <x:v>kg</x:v>
      </x:c>
      <x:c r="H74" s="54" t="n">
        <x:v>1</x:v>
      </x:c>
      <x:c r="I74" s="55" t="n">
        <x:v>70000</x:v>
      </x:c>
      <x:c r="J74" s="55" t="n">
        <x:v>12.7</x:v>
      </x:c>
      <x:c r="K74" s="55" t="n">
        <x:v>456000</x:v>
      </x:c>
      <x:c r="L74" s="55" t="n">
        <x:f>IF(J74&gt;0,K74/J74,I74)</x:f>
        <x:v>35905.51181102362</x:v>
      </x:c>
      <x:c r="M74" s="55" t="n">
        <x:f>J74*L74</x:f>
        <x:v>455999.99999999994</x:v>
      </x:c>
      <x:c r="N74" s="54" t="n">
        <x:v>12.7</x:v>
      </x:c>
      <x:c r="O74" s="54" t="n">
        <x:f>N74-J74</x:f>
        <x:v>0</x:v>
      </x:c>
      <x:c r="P74" s="54" t="n">
        <x:v>0</x:v>
      </x:c>
      <x:c r="Q74" s="54" t="n">
        <x:f>MAX(0,P74-J74)</x:f>
        <x:v>0</x:v>
      </x:c>
      <x:c r="R74" s="53" t="str">
        <x:v>Có</x:v>
      </x:c>
      <x:c r="S74" s="53" t="str">
        <x:v>1 kg = 1 kg</x:v>
      </x:c>
      <x:c r="T74" s="53" t="str">
        <x:v>active:8</x:v>
      </x:c>
      <x:c r="U74" s="56" t="str">
        <x:v>2026-06-29 02:38:51</x:v>
      </x:c>
    </x:row>
    <x:row r="75">
      <x:c r="A75" s="52" t="str">
        <x:v>R006</x:v>
      </x:c>
      <x:c r="B75" s="53" t="str">
        <x:v>Ớt xiêm</x:v>
      </x:c>
      <x:c r="C75" s="53" t="str">
        <x:v>Nguyên liệu</x:v>
      </x:c>
      <x:c r="D75" s="53" t="str">
        <x:v>Rau, củ</x:v>
      </x:c>
      <x:c r="E75" s="53" t="str">
        <x:v>raw / active</x:v>
      </x:c>
      <x:c r="F75" s="53" t="str">
        <x:v>kg</x:v>
      </x:c>
      <x:c r="G75" s="53" t="str">
        <x:v>kg</x:v>
      </x:c>
      <x:c r="H75" s="54" t="n">
        <x:v>1</x:v>
      </x:c>
      <x:c r="I75" s="55" t="n">
        <x:v>60000</x:v>
      </x:c>
      <x:c r="J75" s="55" t="n">
        <x:v>4.8</x:v>
      </x:c>
      <x:c r="K75" s="55" t="n">
        <x:v>298000</x:v>
      </x:c>
      <x:c r="L75" s="55" t="n">
        <x:f>IF(J75&gt;0,K75/J75,I75)</x:f>
        <x:v>62083.333333333336</x:v>
      </x:c>
      <x:c r="M75" s="55" t="n">
        <x:f>J75*L75</x:f>
        <x:v>298000</x:v>
      </x:c>
      <x:c r="N75" s="54" t="n">
        <x:v>4.8</x:v>
      </x:c>
      <x:c r="O75" s="54" t="n">
        <x:f>N75-J75</x:f>
        <x:v>0</x:v>
      </x:c>
      <x:c r="P75" s="54" t="n">
        <x:v>0</x:v>
      </x:c>
      <x:c r="Q75" s="54" t="n">
        <x:f>MAX(0,P75-J75)</x:f>
        <x:v>0</x:v>
      </x:c>
      <x:c r="R75" s="53" t="str">
        <x:v>Có</x:v>
      </x:c>
      <x:c r="S75" s="53" t="str">
        <x:v>1 kg = 1 kg</x:v>
      </x:c>
      <x:c r="T75" s="53" t="str">
        <x:v>active:5</x:v>
      </x:c>
      <x:c r="U75" s="56" t="str">
        <x:v>2026-06-28 15:22:04</x:v>
      </x:c>
    </x:row>
    <x:row r="76">
      <x:c r="A76" s="52" t="str">
        <x:v>R007</x:v>
      </x:c>
      <x:c r="B76" s="53" t="str">
        <x:v>Trái thơm</x:v>
      </x:c>
      <x:c r="C76" s="53" t="str">
        <x:v>Nguyên liệu</x:v>
      </x:c>
      <x:c r="D76" s="53" t="str">
        <x:v>Rau, củ</x:v>
      </x:c>
      <x:c r="E76" s="53" t="str">
        <x:v>raw / active</x:v>
      </x:c>
      <x:c r="F76" s="53" t="str">
        <x:v>trai</x:v>
      </x:c>
      <x:c r="G76" s="53" t="str">
        <x:v>trai</x:v>
      </x:c>
      <x:c r="H76" s="54" t="n">
        <x:v>1</x:v>
      </x:c>
      <x:c r="I76" s="55" t="n">
        <x:v>0</x:v>
      </x:c>
      <x:c r="J76" s="55" t="n">
        <x:v>0</x:v>
      </x:c>
      <x:c r="K76" s="55" t="n">
        <x:v>0</x:v>
      </x:c>
      <x:c r="L76" s="55" t="n">
        <x:f>IF(J76&gt;0,K76/J76,I76)</x:f>
        <x:v>0</x:v>
      </x:c>
      <x:c r="M76" s="55" t="n">
        <x:f>J76*L76</x:f>
        <x:v>0</x:v>
      </x:c>
      <x:c r="N76" s="54" t="n">
        <x:v>0</x:v>
      </x:c>
      <x:c r="O76" s="54" t="n">
        <x:f>N76-J76</x:f>
        <x:v>0</x:v>
      </x:c>
      <x:c r="P76" s="54" t="n">
        <x:v>2</x:v>
      </x:c>
      <x:c r="Q76" s="54" t="n">
        <x:f>MAX(0,P76-J76)</x:f>
        <x:v>2</x:v>
      </x:c>
      <x:c r="R76" s="53" t="str">
        <x:v>Có</x:v>
      </x:c>
      <x:c r="S76" s="53" t="str">
        <x:v>1 trai = 1 trai</x:v>
      </x:c>
      <x:c r="T76" s="53" t="str"/>
      <x:c r="U76" s="56" t="str">
        <x:v>2026-05-15 02:07:03</x:v>
      </x:c>
    </x:row>
    <x:row r="77">
      <x:c r="A77" s="52" t="str">
        <x:v>R009</x:v>
      </x:c>
      <x:c r="B77" s="53" t="str">
        <x:v>Cà chua</x:v>
      </x:c>
      <x:c r="C77" s="53" t="str">
        <x:v>Nguyên liệu</x:v>
      </x:c>
      <x:c r="D77" s="53" t="str">
        <x:v>Rau, củ</x:v>
      </x:c>
      <x:c r="E77" s="53" t="str">
        <x:v>raw / active</x:v>
      </x:c>
      <x:c r="F77" s="53" t="str">
        <x:v>g</x:v>
      </x:c>
      <x:c r="G77" s="53" t="str">
        <x:v>kg</x:v>
      </x:c>
      <x:c r="H77" s="54" t="n">
        <x:v>1</x:v>
      </x:c>
      <x:c r="I77" s="55" t="n">
        <x:v>26000</x:v>
      </x:c>
      <x:c r="J77" s="55" t="n">
        <x:v>102.89999999999999</x:v>
      </x:c>
      <x:c r="K77" s="55" t="n">
        <x:v>3271900</x:v>
      </x:c>
      <x:c r="L77" s="55" t="n">
        <x:f>IF(J77&gt;0,K77/J77,I77)</x:f>
        <x:v>31796.89018464529</x:v>
      </x:c>
      <x:c r="M77" s="55" t="n">
        <x:f>J77*L77</x:f>
        <x:v>3271900</x:v>
      </x:c>
      <x:c r="N77" s="54" t="n">
        <x:v>102.89999999999999</x:v>
      </x:c>
      <x:c r="O77" s="54" t="n">
        <x:f>N77-J77</x:f>
        <x:v>0</x:v>
      </x:c>
      <x:c r="P77" s="54" t="n">
        <x:v>0</x:v>
      </x:c>
      <x:c r="Q77" s="54" t="n">
        <x:f>MAX(0,P77-J77)</x:f>
        <x:v>0</x:v>
      </x:c>
      <x:c r="R77" s="53" t="str">
        <x:v>Có</x:v>
      </x:c>
      <x:c r="S77" s="53" t="str">
        <x:v>1 kg = 1 g</x:v>
      </x:c>
      <x:c r="T77" s="53" t="str">
        <x:v>active:28</x:v>
      </x:c>
      <x:c r="U77" s="56" t="str">
        <x:v>2026-07-01 03:16:07</x:v>
      </x:c>
    </x:row>
    <x:row r="78">
      <x:c r="A78" s="52" t="str">
        <x:v>R010</x:v>
      </x:c>
      <x:c r="B78" s="53" t="str">
        <x:v>Cà rốt</x:v>
      </x:c>
      <x:c r="C78" s="53" t="str">
        <x:v>Nguyên liệu</x:v>
      </x:c>
      <x:c r="D78" s="53" t="str">
        <x:v>Rau, củ</x:v>
      </x:c>
      <x:c r="E78" s="53" t="str">
        <x:v>raw / active</x:v>
      </x:c>
      <x:c r="F78" s="53" t="str">
        <x:v>kg</x:v>
      </x:c>
      <x:c r="G78" s="53" t="str">
        <x:v>kg</x:v>
      </x:c>
      <x:c r="H78" s="54" t="n">
        <x:v>1</x:v>
      </x:c>
      <x:c r="I78" s="55" t="n">
        <x:v>12000</x:v>
      </x:c>
      <x:c r="J78" s="55" t="n">
        <x:v>0</x:v>
      </x:c>
      <x:c r="K78" s="55" t="n">
        <x:v>0</x:v>
      </x:c>
      <x:c r="L78" s="55" t="n">
        <x:f>IF(J78&gt;0,K78/J78,I78)</x:f>
        <x:v>12000</x:v>
      </x:c>
      <x:c r="M78" s="55" t="n">
        <x:f>J78*L78</x:f>
        <x:v>0</x:v>
      </x:c>
      <x:c r="N78" s="54" t="n">
        <x:v>0</x:v>
      </x:c>
      <x:c r="O78" s="54" t="n">
        <x:f>N78-J78</x:f>
        <x:v>0</x:v>
      </x:c>
      <x:c r="P78" s="54" t="n">
        <x:v>0</x:v>
      </x:c>
      <x:c r="Q78" s="54" t="n">
        <x:f>MAX(0,P78-J78)</x:f>
        <x:v>0</x:v>
      </x:c>
      <x:c r="R78" s="53" t="str">
        <x:v>Có</x:v>
      </x:c>
      <x:c r="S78" s="53" t="str">
        <x:v>1 kg = 1 kg</x:v>
      </x:c>
      <x:c r="T78" s="53" t="str"/>
      <x:c r="U78" s="56" t="str">
        <x:v>2026-06-25 02:46:19</x:v>
      </x:c>
    </x:row>
    <x:row r="79">
      <x:c r="A79" s="52" t="str">
        <x:v>R011</x:v>
      </x:c>
      <x:c r="B79" s="53" t="str">
        <x:v>Củ cải</x:v>
      </x:c>
      <x:c r="C79" s="53" t="str">
        <x:v>Nguyên liệu</x:v>
      </x:c>
      <x:c r="D79" s="53" t="str">
        <x:v>Rau, củ</x:v>
      </x:c>
      <x:c r="E79" s="53" t="str">
        <x:v>raw / active</x:v>
      </x:c>
      <x:c r="F79" s="53" t="str">
        <x:v>kg</x:v>
      </x:c>
      <x:c r="G79" s="53" t="str">
        <x:v>kg</x:v>
      </x:c>
      <x:c r="H79" s="54" t="n">
        <x:v>1</x:v>
      </x:c>
      <x:c r="I79" s="55" t="n">
        <x:v>12000</x:v>
      </x:c>
      <x:c r="J79" s="55" t="n">
        <x:v>19</x:v>
      </x:c>
      <x:c r="K79" s="55" t="n">
        <x:v>152000</x:v>
      </x:c>
      <x:c r="L79" s="55" t="n">
        <x:f>IF(J79&gt;0,K79/J79,I79)</x:f>
        <x:v>8000</x:v>
      </x:c>
      <x:c r="M79" s="55" t="n">
        <x:f>J79*L79</x:f>
        <x:v>152000</x:v>
      </x:c>
      <x:c r="N79" s="54" t="n">
        <x:v>19</x:v>
      </x:c>
      <x:c r="O79" s="54" t="n">
        <x:f>N79-J79</x:f>
        <x:v>0</x:v>
      </x:c>
      <x:c r="P79" s="54" t="n">
        <x:v>0</x:v>
      </x:c>
      <x:c r="Q79" s="54" t="n">
        <x:f>MAX(0,P79-J79)</x:f>
        <x:v>0</x:v>
      </x:c>
      <x:c r="R79" s="53" t="str">
        <x:v>Có</x:v>
      </x:c>
      <x:c r="S79" s="53" t="str">
        <x:v>1 kg = 1 kg</x:v>
      </x:c>
      <x:c r="T79" s="53" t="str">
        <x:v>active:2</x:v>
      </x:c>
      <x:c r="U79" s="56" t="str">
        <x:v>2026-06-25 02:46:19</x:v>
      </x:c>
    </x:row>
    <x:row r="80">
      <x:c r="A80" s="52" t="str">
        <x:v>R012</x:v>
      </x:c>
      <x:c r="B80" s="53" t="str">
        <x:v>Dưa leo</x:v>
      </x:c>
      <x:c r="C80" s="53" t="str">
        <x:v>Nguyên liệu</x:v>
      </x:c>
      <x:c r="D80" s="53" t="str">
        <x:v>Rau, củ</x:v>
      </x:c>
      <x:c r="E80" s="53" t="str">
        <x:v>raw / active</x:v>
      </x:c>
      <x:c r="F80" s="53" t="str">
        <x:v>kg</x:v>
      </x:c>
      <x:c r="G80" s="53" t="str">
        <x:v>kg</x:v>
      </x:c>
      <x:c r="H80" s="54" t="n">
        <x:v>1</x:v>
      </x:c>
      <x:c r="I80" s="55" t="n">
        <x:v>15000</x:v>
      </x:c>
      <x:c r="J80" s="55" t="n">
        <x:v>185.8</x:v>
      </x:c>
      <x:c r="K80" s="55" t="n">
        <x:v>3292300</x:v>
      </x:c>
      <x:c r="L80" s="55" t="n">
        <x:f>IF(J80&gt;0,K80/J80,I80)</x:f>
        <x:v>17719.590958019373</x:v>
      </x:c>
      <x:c r="M80" s="55" t="n">
        <x:f>J80*L80</x:f>
        <x:v>3292299.9999999995</x:v>
      </x:c>
      <x:c r="N80" s="54" t="n">
        <x:v>185.8</x:v>
      </x:c>
      <x:c r="O80" s="54" t="n">
        <x:f>N80-J80</x:f>
        <x:v>0</x:v>
      </x:c>
      <x:c r="P80" s="54" t="n">
        <x:v>0</x:v>
      </x:c>
      <x:c r="Q80" s="54" t="n">
        <x:f>MAX(0,P80-J80)</x:f>
        <x:v>0</x:v>
      </x:c>
      <x:c r="R80" s="53" t="str">
        <x:v>Có</x:v>
      </x:c>
      <x:c r="S80" s="53" t="str">
        <x:v>1 kg = 1 kg</x:v>
      </x:c>
      <x:c r="T80" s="53" t="str">
        <x:v>active:28</x:v>
      </x:c>
      <x:c r="U80" s="56" t="str">
        <x:v>2026-07-01 03:16:07</x:v>
      </x:c>
    </x:row>
    <x:row r="81">
      <x:c r="A81" s="52" t="str">
        <x:v>R013</x:v>
      </x:c>
      <x:c r="B81" s="53" t="str">
        <x:v>Trái Tắc</x:v>
      </x:c>
      <x:c r="C81" s="53" t="str">
        <x:v>Nguyên liệu</x:v>
      </x:c>
      <x:c r="D81" s="53" t="str">
        <x:v>Rau, củ</x:v>
      </x:c>
      <x:c r="E81" s="53" t="str">
        <x:v>raw / active</x:v>
      </x:c>
      <x:c r="F81" s="53" t="str">
        <x:v>kg</x:v>
      </x:c>
      <x:c r="G81" s="53" t="str">
        <x:v>kg</x:v>
      </x:c>
      <x:c r="H81" s="54" t="n">
        <x:v>1</x:v>
      </x:c>
      <x:c r="I81" s="55" t="n">
        <x:v>18000</x:v>
      </x:c>
      <x:c r="J81" s="55" t="n">
        <x:v>22</x:v>
      </x:c>
      <x:c r="K81" s="55" t="n">
        <x:v>380000</x:v>
      </x:c>
      <x:c r="L81" s="55" t="n">
        <x:f>IF(J81&gt;0,K81/J81,I81)</x:f>
        <x:v>17272.727272727272</x:v>
      </x:c>
      <x:c r="M81" s="55" t="n">
        <x:f>J81*L81</x:f>
        <x:v>380000</x:v>
      </x:c>
      <x:c r="N81" s="54" t="n">
        <x:v>22</x:v>
      </x:c>
      <x:c r="O81" s="54" t="n">
        <x:f>N81-J81</x:f>
        <x:v>0</x:v>
      </x:c>
      <x:c r="P81" s="54" t="n">
        <x:v>0</x:v>
      </x:c>
      <x:c r="Q81" s="54" t="n">
        <x:f>MAX(0,P81-J81)</x:f>
        <x:v>0</x:v>
      </x:c>
      <x:c r="R81" s="53" t="str">
        <x:v>Có</x:v>
      </x:c>
      <x:c r="S81" s="53" t="str">
        <x:v>1 kg = 1 kg</x:v>
      </x:c>
      <x:c r="T81" s="53" t="str">
        <x:v>active:12</x:v>
      </x:c>
      <x:c r="U81" s="56" t="str">
        <x:v>2026-06-29 02:38:51</x:v>
      </x:c>
    </x:row>
    <x:row r="82">
      <x:c r="A82" s="52" t="str">
        <x:v>R015</x:v>
      </x:c>
      <x:c r="B82" s="53" t="str">
        <x:v>Trái Cam</x:v>
      </x:c>
      <x:c r="C82" s="53" t="str">
        <x:v>Nguyên liệu</x:v>
      </x:c>
      <x:c r="D82" s="53" t="str">
        <x:v>Nguyên liệu</x:v>
      </x:c>
      <x:c r="E82" s="53" t="str">
        <x:v>raw / active</x:v>
      </x:c>
      <x:c r="F82" s="53" t="str">
        <x:v>kg</x:v>
      </x:c>
      <x:c r="G82" s="53" t="str">
        <x:v>kg</x:v>
      </x:c>
      <x:c r="H82" s="54" t="n">
        <x:v>1</x:v>
      </x:c>
      <x:c r="I82" s="55" t="n">
        <x:v>24000</x:v>
      </x:c>
      <x:c r="J82" s="55" t="n">
        <x:v>185</x:v>
      </x:c>
      <x:c r="K82" s="55" t="n">
        <x:v>2688000</x:v>
      </x:c>
      <x:c r="L82" s="55" t="n">
        <x:f>IF(J82&gt;0,K82/J82,I82)</x:f>
        <x:v>14529.72972972973</x:v>
      </x:c>
      <x:c r="M82" s="55" t="n">
        <x:f>J82*L82</x:f>
        <x:v>2688000</x:v>
      </x:c>
      <x:c r="N82" s="54" t="n">
        <x:v>185</x:v>
      </x:c>
      <x:c r="O82" s="54" t="n">
        <x:f>N82-J82</x:f>
        <x:v>0</x:v>
      </x:c>
      <x:c r="P82" s="54" t="n">
        <x:v>2</x:v>
      </x:c>
      <x:c r="Q82" s="54" t="n">
        <x:f>MAX(0,P82-J82)</x:f>
        <x:v>0</x:v>
      </x:c>
      <x:c r="R82" s="53" t="str">
        <x:v>Có</x:v>
      </x:c>
      <x:c r="S82" s="53" t="str">
        <x:v>1 kg = 1 kg</x:v>
      </x:c>
      <x:c r="T82" s="53" t="str">
        <x:v>active:21</x:v>
      </x:c>
      <x:c r="U82" s="56" t="str">
        <x:v>2026-06-30 14:56:10</x:v>
      </x:c>
    </x:row>
    <x:row r="83">
      <x:c r="A83" s="52" t="str">
        <x:v>R016</x:v>
      </x:c>
      <x:c r="B83" s="53" t="str">
        <x:v>Lá dứa</x:v>
      </x:c>
      <x:c r="C83" s="53" t="str">
        <x:v>Nguyên liệu</x:v>
      </x:c>
      <x:c r="D83" s="53" t="str">
        <x:v>Rau, củ</x:v>
      </x:c>
      <x:c r="E83" s="53" t="str">
        <x:v>raw / active</x:v>
      </x:c>
      <x:c r="F83" s="53" t="str">
        <x:v>kg</x:v>
      </x:c>
      <x:c r="G83" s="53" t="str">
        <x:v>kg</x:v>
      </x:c>
      <x:c r="H83" s="54" t="n">
        <x:v>1</x:v>
      </x:c>
      <x:c r="I83" s="55" t="n">
        <x:v>15000</x:v>
      </x:c>
      <x:c r="J83" s="55" t="n">
        <x:v>44</x:v>
      </x:c>
      <x:c r="K83" s="55" t="n">
        <x:v>112500</x:v>
      </x:c>
      <x:c r="L83" s="55" t="n">
        <x:f>IF(J83&gt;0,K83/J83,I83)</x:f>
        <x:v>2556.818181818182</x:v>
      </x:c>
      <x:c r="M83" s="55" t="n">
        <x:f>J83*L83</x:f>
        <x:v>112500</x:v>
      </x:c>
      <x:c r="N83" s="54" t="n">
        <x:v>44</x:v>
      </x:c>
      <x:c r="O83" s="54" t="n">
        <x:f>N83-J83</x:f>
        <x:v>0</x:v>
      </x:c>
      <x:c r="P83" s="54" t="n">
        <x:v>0</x:v>
      </x:c>
      <x:c r="Q83" s="54" t="n">
        <x:f>MAX(0,P83-J83)</x:f>
        <x:v>0</x:v>
      </x:c>
      <x:c r="R83" s="53" t="str">
        <x:v>Có</x:v>
      </x:c>
      <x:c r="S83" s="53" t="str">
        <x:v>1 kg = 1 kg</x:v>
      </x:c>
      <x:c r="T83" s="53" t="str">
        <x:v>active:10</x:v>
      </x:c>
      <x:c r="U83" s="56" t="str">
        <x:v>2026-06-26 15:38:56</x:v>
      </x:c>
    </x:row>
    <x:row r="84">
      <x:c r="A84" s="52" t="str">
        <x:v>R017</x:v>
      </x:c>
      <x:c r="B84" s="53" t="str">
        <x:v>Đồ chua-thành phẩm</x:v>
      </x:c>
      <x:c r="C84" s="53" t="str">
        <x:v>Thành phẩm sản xuất</x:v>
      </x:c>
      <x:c r="D84" s="53" t="str">
        <x:v>Thành Phẩm</x:v>
      </x:c>
      <x:c r="E84" s="53" t="str">
        <x:v>raw / production_output / active</x:v>
      </x:c>
      <x:c r="F84" s="53" t="str">
        <x:v>kg</x:v>
      </x:c>
      <x:c r="G84" s="53" t="str">
        <x:v>kg</x:v>
      </x:c>
      <x:c r="H84" s="54" t="n">
        <x:v>1</x:v>
      </x:c>
      <x:c r="I84" s="55" t="n">
        <x:v>16000.92055</x:v>
      </x:c>
      <x:c r="J84" s="55" t="n">
        <x:v>149</x:v>
      </x:c>
      <x:c r="K84" s="55" t="n">
        <x:v>2372727.126232</x:v>
      </x:c>
      <x:c r="L84" s="55" t="n">
        <x:f>IF(J84&gt;0,K84/J84,I84)</x:f>
        <x:v>15924.343129073826</x:v>
      </x:c>
      <x:c r="M84" s="55" t="n">
        <x:f>J84*L84</x:f>
        <x:v>2372727.126232</x:v>
      </x:c>
      <x:c r="N84" s="54" t="n">
        <x:v>149</x:v>
      </x:c>
      <x:c r="O84" s="54" t="n">
        <x:f>N84-J84</x:f>
        <x:v>0</x:v>
      </x:c>
      <x:c r="P84" s="54" t="n">
        <x:v>0</x:v>
      </x:c>
      <x:c r="Q84" s="54" t="n">
        <x:f>MAX(0,P84-J84)</x:f>
        <x:v>0</x:v>
      </x:c>
      <x:c r="R84" s="53" t="str">
        <x:v>Có</x:v>
      </x:c>
      <x:c r="S84" s="53" t="str">
        <x:v>1 kg = 1 kg</x:v>
      </x:c>
      <x:c r="T84" s="53" t="str">
        <x:v>active:13</x:v>
      </x:c>
      <x:c r="U84" s="56" t="str">
        <x:v>2026-06-26 15:38:56</x:v>
      </x:c>
    </x:row>
    <x:row r="85">
      <x:c r="A85" s="52" t="str">
        <x:v>R020</x:v>
      </x:c>
      <x:c r="B85" s="53" t="str">
        <x:v>Ngò</x:v>
      </x:c>
      <x:c r="C85" s="53" t="str">
        <x:v>Nguyên liệu</x:v>
      </x:c>
      <x:c r="D85" s="53" t="str">
        <x:v>Rau, củ</x:v>
      </x:c>
      <x:c r="E85" s="53" t="str">
        <x:v>raw / active</x:v>
      </x:c>
      <x:c r="F85" s="53" t="str">
        <x:v>g</x:v>
      </x:c>
      <x:c r="G85" s="53" t="str">
        <x:v>kg</x:v>
      </x:c>
      <x:c r="H85" s="54" t="n">
        <x:v>1000</x:v>
      </x:c>
      <x:c r="I85" s="55" t="n">
        <x:v>40</x:v>
      </x:c>
      <x:c r="J85" s="55" t="n">
        <x:v>5500</x:v>
      </x:c>
      <x:c r="K85" s="55" t="n">
        <x:v>180000</x:v>
      </x:c>
      <x:c r="L85" s="55" t="n">
        <x:f>IF(J85&gt;0,K85/J85,I85)</x:f>
        <x:v>32.72727272727273</x:v>
      </x:c>
      <x:c r="M85" s="55" t="n">
        <x:f>J85*L85</x:f>
        <x:v>180000</x:v>
      </x:c>
      <x:c r="N85" s="54" t="n">
        <x:v>5500</x:v>
      </x:c>
      <x:c r="O85" s="54" t="n">
        <x:f>N85-J85</x:f>
        <x:v>0</x:v>
      </x:c>
      <x:c r="P85" s="54" t="n">
        <x:v>0</x:v>
      </x:c>
      <x:c r="Q85" s="54" t="n">
        <x:f>MAX(0,P85-J85)</x:f>
        <x:v>0</x:v>
      </x:c>
      <x:c r="R85" s="53" t="str">
        <x:v>Có</x:v>
      </x:c>
      <x:c r="S85" s="53" t="str">
        <x:v>1 kg = 1000 g</x:v>
      </x:c>
      <x:c r="T85" s="53" t="str">
        <x:v>active:9</x:v>
      </x:c>
      <x:c r="U85" s="56" t="str">
        <x:v>2026-06-29 02:38:51</x:v>
      </x:c>
    </x:row>
    <x:row r="86">
      <x:c r="A86" s="52" t="str">
        <x:v>R021</x:v>
      </x:c>
      <x:c r="B86" s="53" t="str">
        <x:v>Rau củ - Thành phẩm</x:v>
      </x:c>
      <x:c r="C86" s="53" t="str">
        <x:v>Thành phẩm sản xuất</x:v>
      </x:c>
      <x:c r="D86" s="53" t="str">
        <x:v>Rau, củ</x:v>
      </x:c>
      <x:c r="E86" s="53" t="str">
        <x:v>raw / production_output / active</x:v>
      </x:c>
      <x:c r="F86" s="53" t="str">
        <x:v>kg</x:v>
      </x:c>
      <x:c r="G86" s="53" t="str">
        <x:v>kg</x:v>
      </x:c>
      <x:c r="H86" s="54" t="n">
        <x:v>1</x:v>
      </x:c>
      <x:c r="I86" s="55" t="n">
        <x:v>16600</x:v>
      </x:c>
      <x:c r="J86" s="55" t="n">
        <x:v>10</x:v>
      </x:c>
      <x:c r="K86" s="55" t="n">
        <x:v>136500</x:v>
      </x:c>
      <x:c r="L86" s="55" t="n">
        <x:f>IF(J86&gt;0,K86/J86,I86)</x:f>
        <x:v>13650</x:v>
      </x:c>
      <x:c r="M86" s="55" t="n">
        <x:f>J86*L86</x:f>
        <x:v>136500</x:v>
      </x:c>
      <x:c r="N86" s="54" t="n">
        <x:v>10</x:v>
      </x:c>
      <x:c r="O86" s="54" t="n">
        <x:f>N86-J86</x:f>
        <x:v>0</x:v>
      </x:c>
      <x:c r="P86" s="54" t="n">
        <x:v>0</x:v>
      </x:c>
      <x:c r="Q86" s="54" t="n">
        <x:f>MAX(0,P86-J86)</x:f>
        <x:v>0</x:v>
      </x:c>
      <x:c r="R86" s="53" t="str">
        <x:v>Có</x:v>
      </x:c>
      <x:c r="S86" s="53" t="str">
        <x:v>1 kg = 1 kg</x:v>
      </x:c>
      <x:c r="T86" s="53" t="str">
        <x:v>active:2</x:v>
      </x:c>
      <x:c r="U86" s="56" t="str">
        <x:v>2026-05-30 03:42:15</x:v>
      </x:c>
    </x:row>
    <x:row r="87">
      <x:c r="A87" s="52" t="str">
        <x:v>RC01</x:v>
      </x:c>
      <x:c r="B87" s="53" t="str">
        <x:v>Nước rửa chén</x:v>
      </x:c>
      <x:c r="C87" s="53" t="str">
        <x:v>Nguyên liệu</x:v>
      </x:c>
      <x:c r="D87" s="53" t="str">
        <x:v>Vệ sinh</x:v>
      </x:c>
      <x:c r="E87" s="53" t="str">
        <x:v>raw / active</x:v>
      </x:c>
      <x:c r="F87" s="53" t="str">
        <x:v>kg</x:v>
      </x:c>
      <x:c r="G87" s="53" t="str">
        <x:v>chai</x:v>
      </x:c>
      <x:c r="H87" s="54" t="n">
        <x:v>9</x:v>
      </x:c>
      <x:c r="I87" s="55" t="n">
        <x:v>18888.888889</x:v>
      </x:c>
      <x:c r="J87" s="55" t="n">
        <x:v>9</x:v>
      </x:c>
      <x:c r="K87" s="55" t="n">
        <x:v>170000.000001</x:v>
      </x:c>
      <x:c r="L87" s="55" t="n">
        <x:f>IF(J87&gt;0,K87/J87,I87)</x:f>
        <x:v>18888.888889</x:v>
      </x:c>
      <x:c r="M87" s="55" t="n">
        <x:f>J87*L87</x:f>
        <x:v>170000.000001</x:v>
      </x:c>
      <x:c r="N87" s="54" t="n">
        <x:v>9</x:v>
      </x:c>
      <x:c r="O87" s="54" t="n">
        <x:f>N87-J87</x:f>
        <x:v>0</x:v>
      </x:c>
      <x:c r="P87" s="54" t="n">
        <x:v>0</x:v>
      </x:c>
      <x:c r="Q87" s="54" t="n">
        <x:f>MAX(0,P87-J87)</x:f>
        <x:v>0</x:v>
      </x:c>
      <x:c r="R87" s="53" t="str">
        <x:v>Có</x:v>
      </x:c>
      <x:c r="S87" s="53" t="str">
        <x:v>1 chai = 9 kg</x:v>
      </x:c>
      <x:c r="T87" s="53" t="str">
        <x:v>active:1</x:v>
      </x:c>
      <x:c r="U87" s="56" t="str">
        <x:v>2026-05-30 03:26:38</x:v>
      </x:c>
    </x:row>
    <x:row r="88">
      <x:c r="A88" s="52" t="str">
        <x:v>RU01</x:v>
      </x:c>
      <x:c r="B88" s="53" t="str">
        <x:v>Rượu Mai Quế Lộ</x:v>
      </x:c>
      <x:c r="C88" s="53" t="str">
        <x:v>Nguyên liệu</x:v>
      </x:c>
      <x:c r="D88" s="53" t="str">
        <x:v>Rượu</x:v>
      </x:c>
      <x:c r="E88" s="53" t="str">
        <x:v>raw / active</x:v>
      </x:c>
      <x:c r="F88" s="53" t="str">
        <x:v>ml</x:v>
      </x:c>
      <x:c r="G88" s="53" t="str">
        <x:v>chai</x:v>
      </x:c>
      <x:c r="H88" s="54" t="n">
        <x:v>480</x:v>
      </x:c>
      <x:c r="I88" s="55" t="n">
        <x:v>121.527083</x:v>
      </x:c>
      <x:c r="J88" s="55" t="n">
        <x:v>4912</x:v>
      </x:c>
      <x:c r="K88" s="55" t="n">
        <x:v>596941.031696</x:v>
      </x:c>
      <x:c r="L88" s="55" t="n">
        <x:f>IF(J88&gt;0,K88/J88,I88)</x:f>
        <x:v>121.527083</x:v>
      </x:c>
      <x:c r="M88" s="55" t="n">
        <x:f>J88*L88</x:f>
        <x:v>596941.031696</x:v>
      </x:c>
      <x:c r="N88" s="54" t="n">
        <x:v>4912</x:v>
      </x:c>
      <x:c r="O88" s="54" t="n">
        <x:f>N88-J88</x:f>
        <x:v>0</x:v>
      </x:c>
      <x:c r="P88" s="54" t="n">
        <x:v>0</x:v>
      </x:c>
      <x:c r="Q88" s="54" t="n">
        <x:f>MAX(0,P88-J88)</x:f>
        <x:v>0</x:v>
      </x:c>
      <x:c r="R88" s="53" t="str">
        <x:v>Có</x:v>
      </x:c>
      <x:c r="S88" s="53" t="str">
        <x:v>1 chai = 480 ml</x:v>
      </x:c>
      <x:c r="T88" s="53" t="str">
        <x:v>active:2</x:v>
      </x:c>
      <x:c r="U88" s="56" t="str">
        <x:v>2026-06-27 10:50:03</x:v>
      </x:c>
    </x:row>
    <x:row r="89">
      <x:c r="A89" s="52" t="str">
        <x:v>RU02</x:v>
      </x:c>
      <x:c r="B89" s="53" t="str">
        <x:v>Rượu Soju</x:v>
      </x:c>
      <x:c r="C89" s="53" t="str">
        <x:v>Nguyên liệu</x:v>
      </x:c>
      <x:c r="D89" s="53" t="str">
        <x:v>Rượu</x:v>
      </x:c>
      <x:c r="E89" s="53" t="str">
        <x:v>raw / active</x:v>
      </x:c>
      <x:c r="F89" s="53" t="str">
        <x:v>ml</x:v>
      </x:c>
      <x:c r="G89" s="53" t="str">
        <x:v>chai</x:v>
      </x:c>
      <x:c r="H89" s="54" t="n">
        <x:v>360</x:v>
      </x:c>
      <x:c r="I89" s="55" t="n">
        <x:v>125</x:v>
      </x:c>
      <x:c r="J89" s="55" t="n">
        <x:v>2940</x:v>
      </x:c>
      <x:c r="K89" s="55" t="n">
        <x:v>367500</x:v>
      </x:c>
      <x:c r="L89" s="55" t="n">
        <x:f>IF(J89&gt;0,K89/J89,I89)</x:f>
        <x:v>125</x:v>
      </x:c>
      <x:c r="M89" s="55" t="n">
        <x:f>J89*L89</x:f>
        <x:v>367500</x:v>
      </x:c>
      <x:c r="N89" s="54" t="n">
        <x:v>2940</x:v>
      </x:c>
      <x:c r="O89" s="54" t="n">
        <x:f>N89-J89</x:f>
        <x:v>0</x:v>
      </x:c>
      <x:c r="P89" s="54" t="n">
        <x:v>0</x:v>
      </x:c>
      <x:c r="Q89" s="54" t="n">
        <x:f>MAX(0,P89-J89)</x:f>
        <x:v>0</x:v>
      </x:c>
      <x:c r="R89" s="53" t="str">
        <x:v>Có</x:v>
      </x:c>
      <x:c r="S89" s="53" t="str">
        <x:v>1 chai = 360 ml</x:v>
      </x:c>
      <x:c r="T89" s="53" t="str">
        <x:v>active:1</x:v>
      </x:c>
      <x:c r="U89" s="56" t="str">
        <x:v>2026-06-30 11:53:54</x:v>
      </x:c>
    </x:row>
    <x:row r="90">
      <x:c r="A90" s="52" t="str">
        <x:v>S001</x:v>
      </x:c>
      <x:c r="B90" s="53" t="str">
        <x:v>Su Hào</x:v>
      </x:c>
      <x:c r="C90" s="53" t="str">
        <x:v>Nguyên liệu</x:v>
      </x:c>
      <x:c r="D90" s="53" t="str">
        <x:v>Rau, củ</x:v>
      </x:c>
      <x:c r="E90" s="53" t="str">
        <x:v>raw / active</x:v>
      </x:c>
      <x:c r="F90" s="53" t="str">
        <x:v>kg</x:v>
      </x:c>
      <x:c r="G90" s="53" t="str">
        <x:v>kg</x:v>
      </x:c>
      <x:c r="H90" s="54" t="n">
        <x:v>1</x:v>
      </x:c>
      <x:c r="I90" s="55" t="n">
        <x:v>17000</x:v>
      </x:c>
      <x:c r="J90" s="55" t="n">
        <x:v>2</x:v>
      </x:c>
      <x:c r="K90" s="55" t="n">
        <x:v>34000</x:v>
      </x:c>
      <x:c r="L90" s="55" t="n">
        <x:f>IF(J90&gt;0,K90/J90,I90)</x:f>
        <x:v>17000</x:v>
      </x:c>
      <x:c r="M90" s="55" t="n">
        <x:f>J90*L90</x:f>
        <x:v>34000</x:v>
      </x:c>
      <x:c r="N90" s="54" t="n">
        <x:v>2</x:v>
      </x:c>
      <x:c r="O90" s="54" t="n">
        <x:f>N90-J90</x:f>
        <x:v>0</x:v>
      </x:c>
      <x:c r="P90" s="54" t="n">
        <x:v>0</x:v>
      </x:c>
      <x:c r="Q90" s="54" t="n">
        <x:f>MAX(0,P90-J90)</x:f>
        <x:v>0</x:v>
      </x:c>
      <x:c r="R90" s="53" t="str">
        <x:v>Có</x:v>
      </x:c>
      <x:c r="S90" s="53" t="str">
        <x:v>1 kg = 1 kg</x:v>
      </x:c>
      <x:c r="T90" s="53" t="str">
        <x:v>active:1</x:v>
      </x:c>
      <x:c r="U90" s="56" t="str">
        <x:v>2026-06-23 03:43:15</x:v>
      </x:c>
    </x:row>
    <x:row r="91">
      <x:c r="A91" s="52" t="str">
        <x:v>T001</x:v>
      </x:c>
      <x:c r="B91" s="53" t="str">
        <x:v>Thịt cốt lết-tươi</x:v>
      </x:c>
      <x:c r="C91" s="53" t="str">
        <x:v>Nguyên liệu</x:v>
      </x:c>
      <x:c r="D91" s="53" t="str">
        <x:v>Thịt</x:v>
      </x:c>
      <x:c r="E91" s="53" t="str">
        <x:v>raw / active</x:v>
      </x:c>
      <x:c r="F91" s="53" t="str">
        <x:v>kg</x:v>
      </x:c>
      <x:c r="G91" s="53" t="str">
        <x:v>kg</x:v>
      </x:c>
      <x:c r="H91" s="54" t="n">
        <x:v>1</x:v>
      </x:c>
      <x:c r="I91" s="55" t="n">
        <x:v>115000</x:v>
      </x:c>
      <x:c r="J91" s="55" t="n">
        <x:v>1.9</x:v>
      </x:c>
      <x:c r="K91" s="55" t="n">
        <x:v>218500</x:v>
      </x:c>
      <x:c r="L91" s="55" t="n">
        <x:f>IF(J91&gt;0,K91/J91,I91)</x:f>
        <x:v>115000</x:v>
      </x:c>
      <x:c r="M91" s="55" t="n">
        <x:f>J91*L91</x:f>
        <x:v>218500</x:v>
      </x:c>
      <x:c r="N91" s="54" t="n">
        <x:v>1.9000000000000044</x:v>
      </x:c>
      <x:c r="O91" s="54" t="n">
        <x:f>N91-J91</x:f>
        <x:v>4.440892098500626e-15</x:v>
      </x:c>
      <x:c r="P91" s="54" t="n">
        <x:v>0</x:v>
      </x:c>
      <x:c r="Q91" s="54" t="n">
        <x:f>MAX(0,P91-J91)</x:f>
        <x:v>0</x:v>
      </x:c>
      <x:c r="R91" s="53" t="str">
        <x:v>Có</x:v>
      </x:c>
      <x:c r="S91" s="53" t="str">
        <x:v>1 kg = 1 kg</x:v>
      </x:c>
      <x:c r="T91" s="53" t="str">
        <x:v>active:1</x:v>
      </x:c>
      <x:c r="U91" s="56" t="str">
        <x:v>2026-06-30 02:03:41</x:v>
      </x:c>
    </x:row>
    <x:row r="92">
      <x:c r="A92" s="52" t="str">
        <x:v>T002</x:v>
      </x:c>
      <x:c r="B92" s="53" t="str">
        <x:v>Sườn cọng-tươi</x:v>
      </x:c>
      <x:c r="C92" s="53" t="str">
        <x:v>Nguyên liệu</x:v>
      </x:c>
      <x:c r="D92" s="53" t="str">
        <x:v>Thịt</x:v>
      </x:c>
      <x:c r="E92" s="53" t="str">
        <x:v>raw / active</x:v>
      </x:c>
      <x:c r="F92" s="53" t="str">
        <x:v>kg</x:v>
      </x:c>
      <x:c r="G92" s="53" t="str">
        <x:v>kg</x:v>
      </x:c>
      <x:c r="H92" s="54" t="n">
        <x:v>1</x:v>
      </x:c>
      <x:c r="I92" s="55" t="n">
        <x:v>180000</x:v>
      </x:c>
      <x:c r="J92" s="55" t="n">
        <x:v>0.1</x:v>
      </x:c>
      <x:c r="K92" s="55" t="n">
        <x:v>18000</x:v>
      </x:c>
      <x:c r="L92" s="55" t="n">
        <x:f>IF(J92&gt;0,K92/J92,I92)</x:f>
        <x:v>180000</x:v>
      </x:c>
      <x:c r="M92" s="55" t="n">
        <x:f>J92*L92</x:f>
        <x:v>18000</x:v>
      </x:c>
      <x:c r="N92" s="54" t="n">
        <x:v>0.10000000000000284</x:v>
      </x:c>
      <x:c r="O92" s="54" t="n">
        <x:f>N92-J92</x:f>
        <x:v>2.831068712794149e-15</x:v>
      </x:c>
      <x:c r="P92" s="54" t="n">
        <x:v>0</x:v>
      </x:c>
      <x:c r="Q92" s="54" t="n">
        <x:f>MAX(0,P92-J92)</x:f>
        <x:v>0</x:v>
      </x:c>
      <x:c r="R92" s="53" t="str">
        <x:v>Có</x:v>
      </x:c>
      <x:c r="S92" s="53" t="str">
        <x:v>1 kg = 1 kg</x:v>
      </x:c>
      <x:c r="T92" s="53" t="str">
        <x:v>active:1</x:v>
      </x:c>
      <x:c r="U92" s="56" t="str">
        <x:v>2026-06-30 02:04:12</x:v>
      </x:c>
    </x:row>
    <x:row r="93">
      <x:c r="A93" s="52" t="str">
        <x:v>T003</x:v>
      </x:c>
      <x:c r="B93" s="53" t="str">
        <x:v>Ba rọi-tươi</x:v>
      </x:c>
      <x:c r="C93" s="53" t="str">
        <x:v>Nguyên liệu</x:v>
      </x:c>
      <x:c r="D93" s="53" t="str">
        <x:v>Thịt</x:v>
      </x:c>
      <x:c r="E93" s="53" t="str">
        <x:v>raw / active</x:v>
      </x:c>
      <x:c r="F93" s="53" t="str">
        <x:v>kg</x:v>
      </x:c>
      <x:c r="G93" s="53" t="str">
        <x:v>kg</x:v>
      </x:c>
      <x:c r="H93" s="54" t="n">
        <x:v>1</x:v>
      </x:c>
      <x:c r="I93" s="55" t="n">
        <x:v>125000</x:v>
      </x:c>
      <x:c r="J93" s="55" t="n">
        <x:v>0</x:v>
      </x:c>
      <x:c r="K93" s="55" t="n">
        <x:v>0</x:v>
      </x:c>
      <x:c r="L93" s="55" t="n">
        <x:f>IF(J93&gt;0,K93/J93,I93)</x:f>
        <x:v>125000</x:v>
      </x:c>
      <x:c r="M93" s="55" t="n">
        <x:f>J93*L93</x:f>
        <x:v>0</x:v>
      </x:c>
      <x:c r="N93" s="54" t="n">
        <x:v>0</x:v>
      </x:c>
      <x:c r="O93" s="54" t="n">
        <x:f>N93-J93</x:f>
        <x:v>0</x:v>
      </x:c>
      <x:c r="P93" s="54" t="n">
        <x:v>0</x:v>
      </x:c>
      <x:c r="Q93" s="54" t="n">
        <x:f>MAX(0,P93-J93)</x:f>
        <x:v>0</x:v>
      </x:c>
      <x:c r="R93" s="53" t="str">
        <x:v>Có</x:v>
      </x:c>
      <x:c r="S93" s="53" t="str">
        <x:v>1 kg = 1 kg</x:v>
      </x:c>
      <x:c r="T93" s="53" t="str"/>
      <x:c r="U93" s="56" t="str">
        <x:v>2026-06-28 15:17:52</x:v>
      </x:c>
    </x:row>
    <x:row r="94">
      <x:c r="A94" s="52" t="str">
        <x:v>T004</x:v>
      </x:c>
      <x:c r="B94" s="53" t="str">
        <x:v>Thịt xay tươi</x:v>
      </x:c>
      <x:c r="C94" s="53" t="str">
        <x:v>Nguyên liệu</x:v>
      </x:c>
      <x:c r="D94" s="53" t="str">
        <x:v>Thịt</x:v>
      </x:c>
      <x:c r="E94" s="53" t="str">
        <x:v>raw / active</x:v>
      </x:c>
      <x:c r="F94" s="53" t="str">
        <x:v>g</x:v>
      </x:c>
      <x:c r="G94" s="53" t="str">
        <x:v>kg</x:v>
      </x:c>
      <x:c r="H94" s="54" t="n">
        <x:v>1000</x:v>
      </x:c>
      <x:c r="I94" s="55" t="n">
        <x:v>115</x:v>
      </x:c>
      <x:c r="J94" s="55" t="n">
        <x:v>45800</x:v>
      </x:c>
      <x:c r="K94" s="55" t="n">
        <x:v>5267000</x:v>
      </x:c>
      <x:c r="L94" s="55" t="n">
        <x:f>IF(J94&gt;0,K94/J94,I94)</x:f>
        <x:v>115</x:v>
      </x:c>
      <x:c r="M94" s="55" t="n">
        <x:f>J94*L94</x:f>
        <x:v>5267000</x:v>
      </x:c>
      <x:c r="N94" s="54" t="n">
        <x:v>45800</x:v>
      </x:c>
      <x:c r="O94" s="54" t="n">
        <x:f>N94-J94</x:f>
        <x:v>0</x:v>
      </x:c>
      <x:c r="P94" s="54" t="n">
        <x:v>0</x:v>
      </x:c>
      <x:c r="Q94" s="54" t="n">
        <x:f>MAX(0,P94-J94)</x:f>
        <x:v>0</x:v>
      </x:c>
      <x:c r="R94" s="53" t="str">
        <x:v>Có</x:v>
      </x:c>
      <x:c r="S94" s="53" t="str">
        <x:v>1 kg = 1000 g</x:v>
      </x:c>
      <x:c r="T94" s="53" t="str">
        <x:v>active:22</x:v>
      </x:c>
      <x:c r="U94" s="56" t="str">
        <x:v>2026-06-30 02:02:50</x:v>
      </x:c>
    </x:row>
    <x:row r="95">
      <x:c r="A95" s="52" t="str">
        <x:v>T005</x:v>
      </x:c>
      <x:c r="B95" s="53" t="str">
        <x:v>Sườn 1 gang-tươi</x:v>
      </x:c>
      <x:c r="C95" s="53" t="str">
        <x:v>Nguyên liệu</x:v>
      </x:c>
      <x:c r="D95" s="53" t="str">
        <x:v>Thịt</x:v>
      </x:c>
      <x:c r="E95" s="53" t="str">
        <x:v>raw / active</x:v>
      </x:c>
      <x:c r="F95" s="53" t="str">
        <x:v>kg</x:v>
      </x:c>
      <x:c r="G95" s="53" t="str">
        <x:v>kg</x:v>
      </x:c>
      <x:c r="H95" s="54" t="n">
        <x:v>1</x:v>
      </x:c>
      <x:c r="I95" s="55" t="n">
        <x:v>140000</x:v>
      </x:c>
      <x:c r="J95" s="55" t="n">
        <x:v>0</x:v>
      </x:c>
      <x:c r="K95" s="55" t="n">
        <x:v>0</x:v>
      </x:c>
      <x:c r="L95" s="55" t="n">
        <x:f>IF(J95&gt;0,K95/J95,I95)</x:f>
        <x:v>140000</x:v>
      </x:c>
      <x:c r="M95" s="55" t="n">
        <x:f>J95*L95</x:f>
        <x:v>0</x:v>
      </x:c>
      <x:c r="N95" s="54" t="n">
        <x:v>0</x:v>
      </x:c>
      <x:c r="O95" s="54" t="n">
        <x:f>N95-J95</x:f>
        <x:v>0</x:v>
      </x:c>
      <x:c r="P95" s="54" t="n">
        <x:v>0</x:v>
      </x:c>
      <x:c r="Q95" s="54" t="n">
        <x:f>MAX(0,P95-J95)</x:f>
        <x:v>0</x:v>
      </x:c>
      <x:c r="R95" s="53" t="str">
        <x:v>Có</x:v>
      </x:c>
      <x:c r="S95" s="53" t="str">
        <x:v>1 kg = 1 kg</x:v>
      </x:c>
      <x:c r="T95" s="53" t="str"/>
      <x:c r="U95" s="56" t="str">
        <x:v>2026-06-27 10:50:03</x:v>
      </x:c>
    </x:row>
    <x:row r="96">
      <x:c r="A96" s="52" t="str">
        <x:v>T006</x:v>
      </x:c>
      <x:c r="B96" s="53" t="str">
        <x:v>Thịt cốt lết-thành phẩm</x:v>
      </x:c>
      <x:c r="C96" s="53" t="str">
        <x:v>Thành phẩm sản xuất</x:v>
      </x:c>
      <x:c r="D96" s="53" t="str">
        <x:v>Nguyên liệu</x:v>
      </x:c>
      <x:c r="E96" s="53" t="str">
        <x:v>raw / production_output / active</x:v>
      </x:c>
      <x:c r="F96" s="53" t="str">
        <x:v>kg</x:v>
      </x:c>
      <x:c r="G96" s="53" t="str">
        <x:v>kg</x:v>
      </x:c>
      <x:c r="H96" s="54" t="n">
        <x:v>1</x:v>
      </x:c>
      <x:c r="I96" s="55" t="n">
        <x:v>134919.586048</x:v>
      </x:c>
      <x:c r="J96" s="55" t="n">
        <x:v>906.0999999999999</x:v>
      </x:c>
      <x:c r="K96" s="55" t="n">
        <x:v>122047058.8846745</x:v>
      </x:c>
      <x:c r="L96" s="55" t="n">
        <x:f>IF(J96&gt;0,K96/J96,I96)</x:f>
        <x:v>134694.9110304321</x:v>
      </x:c>
      <x:c r="M96" s="55" t="n">
        <x:f>J96*L96</x:f>
        <x:v>122047058.8846745</x:v>
      </x:c>
      <x:c r="N96" s="54" t="n">
        <x:v>906.0999999999999</x:v>
      </x:c>
      <x:c r="O96" s="54" t="n">
        <x:f>N96-J96</x:f>
        <x:v>0</x:v>
      </x:c>
      <x:c r="P96" s="54" t="n">
        <x:v>0</x:v>
      </x:c>
      <x:c r="Q96" s="54" t="n">
        <x:f>MAX(0,P96-J96)</x:f>
        <x:v>0</x:v>
      </x:c>
      <x:c r="R96" s="53" t="str">
        <x:v>Có</x:v>
      </x:c>
      <x:c r="S96" s="53" t="str">
        <x:v>1 kg = 1 kg</x:v>
      </x:c>
      <x:c r="T96" s="53" t="str">
        <x:v>active:40</x:v>
      </x:c>
      <x:c r="U96" s="56" t="str">
        <x:v>2026-06-30 02:06:34</x:v>
      </x:c>
    </x:row>
    <x:row r="97">
      <x:c r="A97" s="52" t="str">
        <x:v>T007</x:v>
      </x:c>
      <x:c r="B97" s="53" t="str">
        <x:v>Sườn cọng-thành phẩm</x:v>
      </x:c>
      <x:c r="C97" s="53" t="str">
        <x:v>Thành phẩm sản xuất</x:v>
      </x:c>
      <x:c r="D97" s="53" t="str">
        <x:v>Thành Phẩm</x:v>
      </x:c>
      <x:c r="E97" s="53" t="str">
        <x:v>raw / production_output / active</x:v>
      </x:c>
      <x:c r="F97" s="53" t="str">
        <x:v>kg</x:v>
      </x:c>
      <x:c r="G97" s="53" t="str">
        <x:v>kg</x:v>
      </x:c>
      <x:c r="H97" s="54" t="n">
        <x:v>1</x:v>
      </x:c>
      <x:c r="I97" s="55" t="n">
        <x:v>214006.088382</x:v>
      </x:c>
      <x:c r="J97" s="55" t="n">
        <x:v>230.6</x:v>
      </x:c>
      <x:c r="K97" s="55" t="n">
        <x:v>46389968.57668861</x:v>
      </x:c>
      <x:c r="L97" s="55" t="n">
        <x:f>IF(J97&gt;0,K97/J97,I97)</x:f>
        <x:v>201170.72236204948</x:v>
      </x:c>
      <x:c r="M97" s="55" t="n">
        <x:f>J97*L97</x:f>
        <x:v>46389968.57668861</x:v>
      </x:c>
      <x:c r="N97" s="54" t="n">
        <x:v>230.6</x:v>
      </x:c>
      <x:c r="O97" s="54" t="n">
        <x:f>N97-J97</x:f>
        <x:v>0</x:v>
      </x:c>
      <x:c r="P97" s="54" t="n">
        <x:v>0</x:v>
      </x:c>
      <x:c r="Q97" s="54" t="n">
        <x:f>MAX(0,P97-J97)</x:f>
        <x:v>0</x:v>
      </x:c>
      <x:c r="R97" s="53" t="str">
        <x:v>Có</x:v>
      </x:c>
      <x:c r="S97" s="53" t="str">
        <x:v>1 kg = 1 kg</x:v>
      </x:c>
      <x:c r="T97" s="53" t="str">
        <x:v>active:20</x:v>
      </x:c>
      <x:c r="U97" s="56" t="str">
        <x:v>2026-06-30 02:06:34</x:v>
      </x:c>
    </x:row>
    <x:row r="98">
      <x:c r="A98" s="52" t="str">
        <x:v>T008</x:v>
      </x:c>
      <x:c r="B98" s="53" t="str">
        <x:v>Ba rọi-thành phẩm</x:v>
      </x:c>
      <x:c r="C98" s="53" t="str">
        <x:v>Thành phẩm sản xuất</x:v>
      </x:c>
      <x:c r="D98" s="53" t="str">
        <x:v>Thành Phẩm</x:v>
      </x:c>
      <x:c r="E98" s="53" t="str">
        <x:v>raw / production_output / active</x:v>
      </x:c>
      <x:c r="F98" s="53" t="str">
        <x:v>kg</x:v>
      </x:c>
      <x:c r="G98" s="53" t="str">
        <x:v>kg</x:v>
      </x:c>
      <x:c r="H98" s="54" t="n">
        <x:v>1</x:v>
      </x:c>
      <x:c r="I98" s="55" t="n">
        <x:v>139304.1</x:v>
      </x:c>
      <x:c r="J98" s="55" t="n">
        <x:v>47.15</x:v>
      </x:c>
      <x:c r="K98" s="55" t="n">
        <x:v>6523049.4000013005</x:v>
      </x:c>
      <x:c r="L98" s="55" t="n">
        <x:f>IF(J98&gt;0,K98/J98,I98)</x:f>
        <x:v>138346.75291625242</x:v>
      </x:c>
      <x:c r="M98" s="55" t="n">
        <x:f>J98*L98</x:f>
        <x:v>6523049.400001301</x:v>
      </x:c>
      <x:c r="N98" s="54" t="n">
        <x:v>47.15</x:v>
      </x:c>
      <x:c r="O98" s="54" t="n">
        <x:f>N98-J98</x:f>
        <x:v>0</x:v>
      </x:c>
      <x:c r="P98" s="54" t="n">
        <x:v>0</x:v>
      </x:c>
      <x:c r="Q98" s="54" t="n">
        <x:f>MAX(0,P98-J98)</x:f>
        <x:v>0</x:v>
      </x:c>
      <x:c r="R98" s="53" t="str">
        <x:v>Có</x:v>
      </x:c>
      <x:c r="S98" s="53" t="str">
        <x:v>1 kg = 1 kg</x:v>
      </x:c>
      <x:c r="T98" s="53" t="str">
        <x:v>active:19</x:v>
      </x:c>
      <x:c r="U98" s="56" t="str">
        <x:v>2026-06-28 15:22:36</x:v>
      </x:c>
    </x:row>
    <x:row r="99">
      <x:c r="A99" s="52" t="str">
        <x:v>T009</x:v>
      </x:c>
      <x:c r="B99" s="53" t="str">
        <x:v>Bì</x:v>
      </x:c>
      <x:c r="C99" s="53" t="str">
        <x:v>Nguyên liệu</x:v>
      </x:c>
      <x:c r="D99" s="53" t="str">
        <x:v>Thịt</x:v>
      </x:c>
      <x:c r="E99" s="53" t="str">
        <x:v>raw / active</x:v>
      </x:c>
      <x:c r="F99" s="53" t="str">
        <x:v>g</x:v>
      </x:c>
      <x:c r="G99" s="53" t="str">
        <x:v>kg</x:v>
      </x:c>
      <x:c r="H99" s="54" t="n">
        <x:v>1000</x:v>
      </x:c>
      <x:c r="I99" s="55" t="n">
        <x:v>60</x:v>
      </x:c>
      <x:c r="J99" s="55" t="n">
        <x:v>76000</x:v>
      </x:c>
      <x:c r="K99" s="55" t="n">
        <x:v>4560000</x:v>
      </x:c>
      <x:c r="L99" s="55" t="n">
        <x:f>IF(J99&gt;0,K99/J99,I99)</x:f>
        <x:v>60</x:v>
      </x:c>
      <x:c r="M99" s="55" t="n">
        <x:f>J99*L99</x:f>
        <x:v>4560000</x:v>
      </x:c>
      <x:c r="N99" s="54" t="n">
        <x:v>76000</x:v>
      </x:c>
      <x:c r="O99" s="54" t="n">
        <x:f>N99-J99</x:f>
        <x:v>0</x:v>
      </x:c>
      <x:c r="P99" s="54" t="n">
        <x:v>0</x:v>
      </x:c>
      <x:c r="Q99" s="54" t="n">
        <x:f>MAX(0,P99-J99)</x:f>
        <x:v>0</x:v>
      </x:c>
      <x:c r="R99" s="53" t="str">
        <x:v>Có</x:v>
      </x:c>
      <x:c r="S99" s="53" t="str">
        <x:v>1 kg = 1000 g</x:v>
      </x:c>
      <x:c r="T99" s="53" t="str">
        <x:v>active:27</x:v>
      </x:c>
      <x:c r="U99" s="56" t="str">
        <x:v>2026-06-29 02:00:32</x:v>
      </x:c>
    </x:row>
    <x:row r="100">
      <x:c r="A100" s="52" t="str">
        <x:v>T010</x:v>
      </x:c>
      <x:c r="B100" s="53" t="str">
        <x:v>Trứng</x:v>
      </x:c>
      <x:c r="C100" s="53" t="str">
        <x:v>Nguyên liệu</x:v>
      </x:c>
      <x:c r="D100" s="53" t="str">
        <x:v>Nguyên liệu</x:v>
      </x:c>
      <x:c r="E100" s="53" t="str">
        <x:v>raw / active</x:v>
      </x:c>
      <x:c r="F100" s="53" t="str">
        <x:v>trai</x:v>
      </x:c>
      <x:c r="G100" s="53" t="str">
        <x:v>trai</x:v>
      </x:c>
      <x:c r="H100" s="54" t="n">
        <x:v>1</x:v>
      </x:c>
      <x:c r="I100" s="55" t="n">
        <x:v>2200</x:v>
      </x:c>
      <x:c r="J100" s="55" t="n">
        <x:v>4547</x:v>
      </x:c>
      <x:c r="K100" s="55" t="n">
        <x:v>9135300</x:v>
      </x:c>
      <x:c r="L100" s="55" t="n">
        <x:f>IF(J100&gt;0,K100/J100,I100)</x:f>
        <x:v>2009.0829118099846</x:v>
      </x:c>
      <x:c r="M100" s="55" t="n">
        <x:f>J100*L100</x:f>
        <x:v>9135300</x:v>
      </x:c>
      <x:c r="N100" s="54" t="n">
        <x:v>4547</x:v>
      </x:c>
      <x:c r="O100" s="54" t="n">
        <x:f>N100-J100</x:f>
        <x:v>0</x:v>
      </x:c>
      <x:c r="P100" s="54" t="n">
        <x:v>0</x:v>
      </x:c>
      <x:c r="Q100" s="54" t="n">
        <x:f>MAX(0,P100-J100)</x:f>
        <x:v>0</x:v>
      </x:c>
      <x:c r="R100" s="53" t="str">
        <x:v>Có</x:v>
      </x:c>
      <x:c r="S100" s="53" t="str">
        <x:v>1 trai = 1 trai</x:v>
      </x:c>
      <x:c r="T100" s="53" t="str">
        <x:v>active:17</x:v>
      </x:c>
      <x:c r="U100" s="56" t="str">
        <x:v>2026-06-30 01:58:34</x:v>
      </x:c>
    </x:row>
    <x:row r="101">
      <x:c r="A101" s="52" t="str">
        <x:v>T011</x:v>
      </x:c>
      <x:c r="B101" s="53" t="str">
        <x:v>Tôm khô</x:v>
      </x:c>
      <x:c r="C101" s="53" t="str">
        <x:v>Nguyên liệu</x:v>
      </x:c>
      <x:c r="D101" s="53" t="str">
        <x:v>Nguyên liệu</x:v>
      </x:c>
      <x:c r="E101" s="53" t="str">
        <x:v>raw / active</x:v>
      </x:c>
      <x:c r="F101" s="53" t="str">
        <x:v>g</x:v>
      </x:c>
      <x:c r="G101" s="53" t="str">
        <x:v>kg</x:v>
      </x:c>
      <x:c r="H101" s="54" t="n">
        <x:v>1</x:v>
      </x:c>
      <x:c r="I101" s="55" t="n">
        <x:v>0</x:v>
      </x:c>
      <x:c r="J101" s="55" t="n">
        <x:v>0</x:v>
      </x:c>
      <x:c r="K101" s="55" t="n">
        <x:v>0</x:v>
      </x:c>
      <x:c r="L101" s="55" t="n">
        <x:f>IF(J101&gt;0,K101/J101,I101)</x:f>
        <x:v>0</x:v>
      </x:c>
      <x:c r="M101" s="55" t="n">
        <x:f>J101*L101</x:f>
        <x:v>0</x:v>
      </x:c>
      <x:c r="N101" s="54" t="n">
        <x:v>0</x:v>
      </x:c>
      <x:c r="O101" s="54" t="n">
        <x:f>N101-J101</x:f>
        <x:v>0</x:v>
      </x:c>
      <x:c r="P101" s="54" t="n">
        <x:v>0</x:v>
      </x:c>
      <x:c r="Q101" s="54" t="n">
        <x:f>MAX(0,P101-J101)</x:f>
        <x:v>0</x:v>
      </x:c>
      <x:c r="R101" s="53" t="str">
        <x:v>Có</x:v>
      </x:c>
      <x:c r="S101" s="53" t="str">
        <x:v>1 kg = 1 g</x:v>
      </x:c>
      <x:c r="T101" s="53" t="str"/>
      <x:c r="U101" s="56" t="str">
        <x:v>2026-05-15 02:08:14</x:v>
      </x:c>
    </x:row>
    <x:row r="102">
      <x:c r="A102" s="52" t="str">
        <x:v>T012</x:v>
      </x:c>
      <x:c r="B102" s="53" t="str">
        <x:v>Bì-thành phẩm</x:v>
      </x:c>
      <x:c r="C102" s="53" t="str">
        <x:v>Thành phẩm sản xuất</x:v>
      </x:c>
      <x:c r="D102" s="53" t="str">
        <x:v>Thành Phẩm</x:v>
      </x:c>
      <x:c r="E102" s="53" t="str">
        <x:v>raw / production_output / active</x:v>
      </x:c>
      <x:c r="F102" s="53" t="str">
        <x:v>kg</x:v>
      </x:c>
      <x:c r="G102" s="53" t="str">
        <x:v>kg</x:v>
      </x:c>
      <x:c r="H102" s="54" t="n">
        <x:v>1</x:v>
      </x:c>
      <x:c r="I102" s="55" t="n">
        <x:v>0</x:v>
      </x:c>
      <x:c r="J102" s="55" t="n">
        <x:v>0</x:v>
      </x:c>
      <x:c r="K102" s="55" t="n">
        <x:v>0</x:v>
      </x:c>
      <x:c r="L102" s="55" t="n">
        <x:f>IF(J102&gt;0,K102/J102,I102)</x:f>
        <x:v>0</x:v>
      </x:c>
      <x:c r="M102" s="55" t="n">
        <x:f>J102*L102</x:f>
        <x:v>0</x:v>
      </x:c>
      <x:c r="N102" s="54" t="n">
        <x:v>0</x:v>
      </x:c>
      <x:c r="O102" s="54" t="n">
        <x:f>N102-J102</x:f>
        <x:v>0</x:v>
      </x:c>
      <x:c r="P102" s="54" t="n">
        <x:v>0</x:v>
      </x:c>
      <x:c r="Q102" s="54" t="n">
        <x:f>MAX(0,P102-J102)</x:f>
        <x:v>0</x:v>
      </x:c>
      <x:c r="R102" s="53" t="str">
        <x:v>Có</x:v>
      </x:c>
      <x:c r="S102" s="53" t="str">
        <x:v>1 kg = 1 kg</x:v>
      </x:c>
      <x:c r="T102" s="53" t="str"/>
      <x:c r="U102" s="56" t="str">
        <x:v>2026-05-15 01:33:48</x:v>
      </x:c>
    </x:row>
    <x:row r="103">
      <x:c r="A103" s="52" t="str">
        <x:v>T013</x:v>
      </x:c>
      <x:c r="B103" s="53" t="str">
        <x:v>Chả-thành phẩm</x:v>
      </x:c>
      <x:c r="C103" s="53" t="str">
        <x:v>Thành phẩm sản xuất</x:v>
      </x:c>
      <x:c r="D103" s="53" t="str">
        <x:v>Thành Phẩm</x:v>
      </x:c>
      <x:c r="E103" s="53" t="str">
        <x:v>raw / production_output / active</x:v>
      </x:c>
      <x:c r="F103" s="53" t="str">
        <x:v>khay</x:v>
      </x:c>
      <x:c r="G103" s="53" t="str">
        <x:v>khay</x:v>
      </x:c>
      <x:c r="H103" s="54" t="n">
        <x:v>1</x:v>
      </x:c>
      <x:c r="I103" s="55" t="n">
        <x:v>117615.78401</x:v>
      </x:c>
      <x:c r="J103" s="55" t="n">
        <x:v>67</x:v>
      </x:c>
      <x:c r="K103" s="55" t="n">
        <x:v>7397594.23263</x:v>
      </x:c>
      <x:c r="L103" s="55" t="n">
        <x:f>IF(J103&gt;0,K103/J103,I103)</x:f>
        <x:v>110411.85421835822</x:v>
      </x:c>
      <x:c r="M103" s="55" t="n">
        <x:f>J103*L103</x:f>
        <x:v>7397594.23263</x:v>
      </x:c>
      <x:c r="N103" s="54" t="n">
        <x:v>67</x:v>
      </x:c>
      <x:c r="O103" s="54" t="n">
        <x:f>N103-J103</x:f>
        <x:v>0</x:v>
      </x:c>
      <x:c r="P103" s="54" t="n">
        <x:v>2</x:v>
      </x:c>
      <x:c r="Q103" s="54" t="n">
        <x:f>MAX(0,P103-J103)</x:f>
        <x:v>0</x:v>
      </x:c>
      <x:c r="R103" s="53" t="str">
        <x:v>Có</x:v>
      </x:c>
      <x:c r="S103" s="53" t="str">
        <x:v>1 khay = 1 khay</x:v>
      </x:c>
      <x:c r="T103" s="53" t="str">
        <x:v>active:22</x:v>
      </x:c>
      <x:c r="U103" s="56" t="str">
        <x:v>2026-06-30 01:58:38</x:v>
      </x:c>
    </x:row>
    <x:row r="104">
      <x:c r="A104" s="52" t="str">
        <x:v>T014</x:v>
      </x:c>
      <x:c r="B104" s="53" t="str">
        <x:v>Sườn 1 gang-thành phẩm</x:v>
      </x:c>
      <x:c r="C104" s="53" t="str">
        <x:v>Thành phẩm sản xuất</x:v>
      </x:c>
      <x:c r="D104" s="53" t="str">
        <x:v>Thành Phẩm</x:v>
      </x:c>
      <x:c r="E104" s="53" t="str">
        <x:v>raw / production_output / active</x:v>
      </x:c>
      <x:c r="F104" s="53" t="str">
        <x:v>kg</x:v>
      </x:c>
      <x:c r="G104" s="53" t="str">
        <x:v>kg</x:v>
      </x:c>
      <x:c r="H104" s="54" t="n">
        <x:v>1</x:v>
      </x:c>
      <x:c r="I104" s="55" t="n">
        <x:v>165968.499998</x:v>
      </x:c>
      <x:c r="J104" s="55" t="n">
        <x:v>74.85</x:v>
      </x:c>
      <x:c r="K104" s="55" t="n">
        <x:v>11412159.133874001</x:v>
      </x:c>
      <x:c r="L104" s="55" t="n">
        <x:f>IF(J104&gt;0,K104/J104,I104)</x:f>
        <x:v>152467.05589678025</x:v>
      </x:c>
      <x:c r="M104" s="55" t="n">
        <x:f>J104*L104</x:f>
        <x:v>11412159.133874001</x:v>
      </x:c>
      <x:c r="N104" s="54" t="n">
        <x:v>74.85</x:v>
      </x:c>
      <x:c r="O104" s="54" t="n">
        <x:f>N104-J104</x:f>
        <x:v>0</x:v>
      </x:c>
      <x:c r="P104" s="54" t="n">
        <x:v>0</x:v>
      </x:c>
      <x:c r="Q104" s="54" t="n">
        <x:f>MAX(0,P104-J104)</x:f>
        <x:v>0</x:v>
      </x:c>
      <x:c r="R104" s="53" t="str">
        <x:v>Có</x:v>
      </x:c>
      <x:c r="S104" s="53" t="str">
        <x:v>1 kg = 1 kg</x:v>
      </x:c>
      <x:c r="T104" s="53" t="str">
        <x:v>active:14</x:v>
      </x:c>
      <x:c r="U104" s="56" t="str">
        <x:v>2026-06-28 15:22:04</x:v>
      </x:c>
    </x:row>
    <x:row r="105">
      <x:c r="A105" s="52" t="str">
        <x:v>T100</x:v>
      </x:c>
      <x:c r="B105" s="53" t="str">
        <x:v>Nước Rau Má - Thành Phẩm</x:v>
      </x:c>
      <x:c r="C105" s="53" t="str">
        <x:v>Thành phẩm sản xuất</x:v>
      </x:c>
      <x:c r="D105" s="53" t="str">
        <x:v>Rau, củ</x:v>
      </x:c>
      <x:c r="E105" s="53" t="str">
        <x:v>semi_finished / production_output / active</x:v>
      </x:c>
      <x:c r="F105" s="53" t="str">
        <x:v>ml</x:v>
      </x:c>
      <x:c r="G105" s="53" t="str">
        <x:v>lit</x:v>
      </x:c>
      <x:c r="H105" s="54" t="n">
        <x:v>1000</x:v>
      </x:c>
      <x:c r="I105" s="55" t="n">
        <x:v>4</x:v>
      </x:c>
      <x:c r="J105" s="55" t="n">
        <x:v>10050</x:v>
      </x:c>
      <x:c r="K105" s="55" t="n">
        <x:v>224000</x:v>
      </x:c>
      <x:c r="L105" s="55" t="n">
        <x:f>IF(J105&gt;0,K105/J105,I105)</x:f>
        <x:v>22.28855721393035</x:v>
      </x:c>
      <x:c r="M105" s="55" t="n">
        <x:f>J105*L105</x:f>
        <x:v>224000.00000000003</x:v>
      </x:c>
      <x:c r="N105" s="54" t="n">
        <x:v>10050</x:v>
      </x:c>
      <x:c r="O105" s="54" t="n">
        <x:f>N105-J105</x:f>
        <x:v>0</x:v>
      </x:c>
      <x:c r="P105" s="54" t="n">
        <x:v>0</x:v>
      </x:c>
      <x:c r="Q105" s="54" t="n">
        <x:f>MAX(0,P105-J105)</x:f>
        <x:v>0</x:v>
      </x:c>
      <x:c r="R105" s="53" t="str">
        <x:v>Có</x:v>
      </x:c>
      <x:c r="S105" s="53" t="str">
        <x:v>1 lit = 1000 ml</x:v>
      </x:c>
      <x:c r="T105" s="53" t="str">
        <x:v>active:7</x:v>
      </x:c>
      <x:c r="U105" s="56" t="str">
        <x:v>2026-06-28 15:22:04</x:v>
      </x:c>
    </x:row>
    <x:row r="106">
      <x:c r="A106" s="52" t="str">
        <x:v>T111</x:v>
      </x:c>
      <x:c r="B106" s="53" t="str">
        <x:v>Rau Má</x:v>
      </x:c>
      <x:c r="C106" s="53" t="str">
        <x:v>Nguyên liệu</x:v>
      </x:c>
      <x:c r="D106" s="53" t="str">
        <x:v>Rau, củ</x:v>
      </x:c>
      <x:c r="E106" s="53" t="str">
        <x:v>raw / active</x:v>
      </x:c>
      <x:c r="F106" s="53" t="str">
        <x:v>kg</x:v>
      </x:c>
      <x:c r="G106" s="53" t="str">
        <x:v>kg</x:v>
      </x:c>
      <x:c r="H106" s="54" t="n">
        <x:v>1</x:v>
      </x:c>
      <x:c r="I106" s="55" t="n">
        <x:v>20000</x:v>
      </x:c>
      <x:c r="J106" s="55" t="n">
        <x:v>1</x:v>
      </x:c>
      <x:c r="K106" s="55" t="n">
        <x:v>20000</x:v>
      </x:c>
      <x:c r="L106" s="55" t="n">
        <x:f>IF(J106&gt;0,K106/J106,I106)</x:f>
        <x:v>20000</x:v>
      </x:c>
      <x:c r="M106" s="55" t="n">
        <x:f>J106*L106</x:f>
        <x:v>20000</x:v>
      </x:c>
      <x:c r="N106" s="54" t="n">
        <x:v>1</x:v>
      </x:c>
      <x:c r="O106" s="54" t="n">
        <x:f>N106-J106</x:f>
        <x:v>0</x:v>
      </x:c>
      <x:c r="P106" s="54" t="n">
        <x:v>0</x:v>
      </x:c>
      <x:c r="Q106" s="54" t="n">
        <x:f>MAX(0,P106-J106)</x:f>
        <x:v>0</x:v>
      </x:c>
      <x:c r="R106" s="53" t="str">
        <x:v>Có</x:v>
      </x:c>
      <x:c r="S106" s="53" t="str">
        <x:v>1 kg = 1 kg</x:v>
      </x:c>
      <x:c r="T106" s="53" t="str">
        <x:v>active:1</x:v>
      </x:c>
      <x:c r="U106" s="56" t="str">
        <x:v>2026-06-29 02:39:18</x:v>
      </x:c>
    </x:row>
    <x:row r="107">
      <x:c r="A107" s="52" t="str">
        <x:v>TH01</x:v>
      </x:c>
      <x:c r="B107" s="53" t="str">
        <x:v>Than</x:v>
      </x:c>
      <x:c r="C107" s="53" t="str">
        <x:v>Nguyên liệu</x:v>
      </x:c>
      <x:c r="D107" s="53" t="str">
        <x:v>Nguyên liệu</x:v>
      </x:c>
      <x:c r="E107" s="53" t="str">
        <x:v>raw / active</x:v>
      </x:c>
      <x:c r="F107" s="53" t="str">
        <x:v>kg</x:v>
      </x:c>
      <x:c r="G107" s="53" t="str">
        <x:v>kg</x:v>
      </x:c>
      <x:c r="H107" s="54" t="n">
        <x:v>1</x:v>
      </x:c>
      <x:c r="I107" s="55" t="n">
        <x:v>17000</x:v>
      </x:c>
      <x:c r="J107" s="55" t="n">
        <x:v>133</x:v>
      </x:c>
      <x:c r="K107" s="55" t="n">
        <x:v>2261000</x:v>
      </x:c>
      <x:c r="L107" s="55" t="n">
        <x:f>IF(J107&gt;0,K107/J107,I107)</x:f>
        <x:v>17000</x:v>
      </x:c>
      <x:c r="M107" s="55" t="n">
        <x:f>J107*L107</x:f>
        <x:v>2261000</x:v>
      </x:c>
      <x:c r="N107" s="54" t="n">
        <x:v>133</x:v>
      </x:c>
      <x:c r="O107" s="54" t="n">
        <x:f>N107-J107</x:f>
        <x:v>0</x:v>
      </x:c>
      <x:c r="P107" s="54" t="n">
        <x:v>0</x:v>
      </x:c>
      <x:c r="Q107" s="54" t="n">
        <x:f>MAX(0,P107-J107)</x:f>
        <x:v>0</x:v>
      </x:c>
      <x:c r="R107" s="53" t="str">
        <x:v>Có</x:v>
      </x:c>
      <x:c r="S107" s="53" t="str">
        <x:v>1 kg = 1 kg</x:v>
      </x:c>
      <x:c r="T107" s="53" t="str">
        <x:v>active:4</x:v>
      </x:c>
      <x:c r="U107" s="56" t="str">
        <x:v>2026-06-26 15:38:56</x:v>
      </x:c>
    </x:row>
    <x:row r="108">
      <x:c r="A108" s="52" t="str">
        <x:v>TR01</x:v>
      </x:c>
      <x:c r="B108" s="53" t="str">
        <x:v>Trà Lài Thu Thảo</x:v>
      </x:c>
      <x:c r="C108" s="53" t="str">
        <x:v>Nguyên liệu</x:v>
      </x:c>
      <x:c r="D108" s="53" t="str">
        <x:v>Nguyên liệu</x:v>
      </x:c>
      <x:c r="E108" s="53" t="str">
        <x:v>raw / active</x:v>
      </x:c>
      <x:c r="F108" s="53" t="str">
        <x:v>goi</x:v>
      </x:c>
      <x:c r="G108" s="53" t="str">
        <x:v>goi</x:v>
      </x:c>
      <x:c r="H108" s="54" t="n">
        <x:v>1</x:v>
      </x:c>
      <x:c r="I108" s="55" t="n">
        <x:v>26000</x:v>
      </x:c>
      <x:c r="J108" s="55" t="n">
        <x:v>12</x:v>
      </x:c>
      <x:c r="K108" s="55" t="n">
        <x:v>312000</x:v>
      </x:c>
      <x:c r="L108" s="55" t="n">
        <x:f>IF(J108&gt;0,K108/J108,I108)</x:f>
        <x:v>26000</x:v>
      </x:c>
      <x:c r="M108" s="55" t="n">
        <x:f>J108*L108</x:f>
        <x:v>312000</x:v>
      </x:c>
      <x:c r="N108" s="54" t="n">
        <x:v>12</x:v>
      </x:c>
      <x:c r="O108" s="54" t="n">
        <x:f>N108-J108</x:f>
        <x:v>0</x:v>
      </x:c>
      <x:c r="P108" s="54" t="n">
        <x:v>20</x:v>
      </x:c>
      <x:c r="Q108" s="54" t="n">
        <x:f>MAX(0,P108-J108)</x:f>
        <x:v>8</x:v>
      </x:c>
      <x:c r="R108" s="53" t="str">
        <x:v>Có</x:v>
      </x:c>
      <x:c r="S108" s="53" t="str">
        <x:v>1 goi = 1 goi</x:v>
      </x:c>
      <x:c r="T108" s="53" t="str">
        <x:v>active:2</x:v>
      </x:c>
      <x:c r="U108" s="56" t="str">
        <x:v>2026-06-30 12:17:59</x:v>
      </x:c>
    </x:row>
    <x:row r="109">
      <x:c r="A109" s="52" t="str">
        <x:v>TR02</x:v>
      </x:c>
      <x:c r="B109" s="53" t="str">
        <x:v>Trà  Nhãn Vàng</x:v>
      </x:c>
      <x:c r="C109" s="53" t="str">
        <x:v>Nguyên liệu</x:v>
      </x:c>
      <x:c r="D109" s="53" t="str"/>
      <x:c r="E109" s="53" t="str">
        <x:v>raw / active</x:v>
      </x:c>
      <x:c r="F109" s="53" t="str">
        <x:v>goi</x:v>
      </x:c>
      <x:c r="G109" s="53" t="str">
        <x:v>hop</x:v>
      </x:c>
      <x:c r="H109" s="54" t="n">
        <x:v>100</x:v>
      </x:c>
      <x:c r="I109" s="55" t="n">
        <x:v>800</x:v>
      </x:c>
      <x:c r="J109" s="55" t="n">
        <x:v>400</x:v>
      </x:c>
      <x:c r="K109" s="55" t="n">
        <x:v>320000</x:v>
      </x:c>
      <x:c r="L109" s="55" t="n">
        <x:f>IF(J109&gt;0,K109/J109,I109)</x:f>
        <x:v>800</x:v>
      </x:c>
      <x:c r="M109" s="55" t="n">
        <x:f>J109*L109</x:f>
        <x:v>320000</x:v>
      </x:c>
      <x:c r="N109" s="54" t="n">
        <x:v>400.0000000000001</x:v>
      </x:c>
      <x:c r="O109" s="54" t="n">
        <x:f>N109-J109</x:f>
        <x:v>1.1368683772161603e-13</x:v>
      </x:c>
      <x:c r="P109" s="54" t="n">
        <x:v>0</x:v>
      </x:c>
      <x:c r="Q109" s="54" t="n">
        <x:f>MAX(0,P109-J109)</x:f>
        <x:v>0</x:v>
      </x:c>
      <x:c r="R109" s="53" t="str">
        <x:v>Có</x:v>
      </x:c>
      <x:c r="S109" s="53" t="str">
        <x:v>1 hop = 100 goi</x:v>
      </x:c>
      <x:c r="T109" s="53" t="str">
        <x:v>active:1</x:v>
      </x:c>
      <x:c r="U109" s="56" t="str">
        <x:v>2026-06-30 11:51:43</x:v>
      </x:c>
    </x:row>
    <x:row r="110">
      <x:c r="A110" s="52" t="str">
        <x:v>TR03</x:v>
      </x:c>
      <x:c r="B110" s="53" t="str">
        <x:v>Trà-Thành Phẩm</x:v>
      </x:c>
      <x:c r="C110" s="53" t="str">
        <x:v>Thành phẩm sản xuất</x:v>
      </x:c>
      <x:c r="D110" s="53" t="str">
        <x:v>Nước</x:v>
      </x:c>
      <x:c r="E110" s="53" t="str">
        <x:v>raw / production_output / active</x:v>
      </x:c>
      <x:c r="F110" s="53" t="str">
        <x:v>ml</x:v>
      </x:c>
      <x:c r="G110" s="53" t="str">
        <x:v>lit</x:v>
      </x:c>
      <x:c r="H110" s="54" t="n">
        <x:v>1000</x:v>
      </x:c>
      <x:c r="I110" s="55" t="n">
        <x:v>50.78626</x:v>
      </x:c>
      <x:c r="J110" s="55" t="n">
        <x:v>43850</x:v>
      </x:c>
      <x:c r="K110" s="55" t="n">
        <x:v>1090253.531330022</x:v>
      </x:c>
      <x:c r="L110" s="55" t="n">
        <x:f>IF(J110&gt;0,K110/J110,I110)</x:f>
        <x:v>24.863250429418976</x:v>
      </x:c>
      <x:c r="M110" s="55" t="n">
        <x:f>J110*L110</x:f>
        <x:v>1090253.531330022</x:v>
      </x:c>
      <x:c r="N110" s="54" t="n">
        <x:v>43850</x:v>
      </x:c>
      <x:c r="O110" s="54" t="n">
        <x:f>N110-J110</x:f>
        <x:v>0</x:v>
      </x:c>
      <x:c r="P110" s="54" t="n">
        <x:v>0</x:v>
      </x:c>
      <x:c r="Q110" s="54" t="n">
        <x:f>MAX(0,P110-J110)</x:f>
        <x:v>0</x:v>
      </x:c>
      <x:c r="R110" s="53" t="str">
        <x:v>Có</x:v>
      </x:c>
      <x:c r="S110" s="53" t="str">
        <x:v>1 lit = 1000 ml</x:v>
      </x:c>
      <x:c r="T110" s="53" t="str">
        <x:v>active:7</x:v>
      </x:c>
      <x:c r="U110" s="56" t="str">
        <x:v>2026-06-25 16:05:40</x:v>
      </x:c>
    </x:row>
    <x:row r="111">
      <x:c r="A111" s="52" t="str">
        <x:v>VS01</x:v>
      </x:c>
      <x:c r="B111" s="53" t="str">
        <x:v>Túi rác đen 10kg</x:v>
      </x:c>
      <x:c r="C111" s="53" t="str">
        <x:v>Nguyên liệu</x:v>
      </x:c>
      <x:c r="D111" s="53" t="str">
        <x:v>Bọc</x:v>
      </x:c>
      <x:c r="E111" s="53" t="str">
        <x:v>raw / active</x:v>
      </x:c>
      <x:c r="F111" s="53" t="str">
        <x:v>kg</x:v>
      </x:c>
      <x:c r="G111" s="53" t="str">
        <x:v>kg</x:v>
      </x:c>
      <x:c r="H111" s="54" t="n">
        <x:v>1</x:v>
      </x:c>
      <x:c r="I111" s="55" t="n">
        <x:v>26000</x:v>
      </x:c>
      <x:c r="J111" s="55" t="n">
        <x:v>47.8</x:v>
      </x:c>
      <x:c r="K111" s="55" t="n">
        <x:v>1271600</x:v>
      </x:c>
      <x:c r="L111" s="55" t="n">
        <x:f>IF(J111&gt;0,K111/J111,I111)</x:f>
        <x:v>26602.510460251047</x:v>
      </x:c>
      <x:c r="M111" s="55" t="n">
        <x:f>J111*L111</x:f>
        <x:v>1271600</x:v>
      </x:c>
      <x:c r="N111" s="54" t="n">
        <x:v>47.8</x:v>
      </x:c>
      <x:c r="O111" s="54" t="n">
        <x:f>N111-J111</x:f>
        <x:v>0</x:v>
      </x:c>
      <x:c r="P111" s="54" t="n">
        <x:v>0</x:v>
      </x:c>
      <x:c r="Q111" s="54" t="n">
        <x:f>MAX(0,P111-J111)</x:f>
        <x:v>0</x:v>
      </x:c>
      <x:c r="R111" s="53" t="str">
        <x:v>Có</x:v>
      </x:c>
      <x:c r="S111" s="53" t="str">
        <x:v>1 kg = 1 kg</x:v>
      </x:c>
      <x:c r="T111" s="53" t="str">
        <x:v>active:5</x:v>
      </x:c>
      <x:c r="U111" s="56" t="str">
        <x:v>2026-06-30 13:49:24</x:v>
      </x:c>
    </x:row>
    <x:row r="112">
      <x:c r="A112" s="52" t="str">
        <x:v>VS02</x:v>
      </x:c>
      <x:c r="B112" s="53" t="str">
        <x:v>Túi rác 25kg</x:v>
      </x:c>
      <x:c r="C112" s="53" t="str">
        <x:v>Nguyên liệu</x:v>
      </x:c>
      <x:c r="D112" s="53" t="str">
        <x:v>Vệ sinh</x:v>
      </x:c>
      <x:c r="E112" s="53" t="str">
        <x:v>raw / active</x:v>
      </x:c>
      <x:c r="F112" s="53" t="str">
        <x:v>kg</x:v>
      </x:c>
      <x:c r="G112" s="53" t="str">
        <x:v>kg</x:v>
      </x:c>
      <x:c r="H112" s="54" t="n">
        <x:v>1</x:v>
      </x:c>
      <x:c r="I112" s="55" t="n">
        <x:v>26000</x:v>
      </x:c>
      <x:c r="J112" s="55" t="n">
        <x:v>10</x:v>
      </x:c>
      <x:c r="K112" s="55" t="n">
        <x:v>260000</x:v>
      </x:c>
      <x:c r="L112" s="55" t="n">
        <x:f>IF(J112&gt;0,K112/J112,I112)</x:f>
        <x:v>26000</x:v>
      </x:c>
      <x:c r="M112" s="55" t="n">
        <x:f>J112*L112</x:f>
        <x:v>260000</x:v>
      </x:c>
      <x:c r="N112" s="54" t="n">
        <x:v>10</x:v>
      </x:c>
      <x:c r="O112" s="54" t="n">
        <x:f>N112-J112</x:f>
        <x:v>0</x:v>
      </x:c>
      <x:c r="P112" s="54" t="n">
        <x:v>0</x:v>
      </x:c>
      <x:c r="Q112" s="54" t="n">
        <x:f>MAX(0,P112-J112)</x:f>
        <x:v>0</x:v>
      </x:c>
      <x:c r="R112" s="53" t="str">
        <x:v>Có</x:v>
      </x:c>
      <x:c r="S112" s="53" t="str">
        <x:v>1 kg = 1 kg</x:v>
      </x:c>
      <x:c r="T112" s="53" t="str">
        <x:v>active:2</x:v>
      </x:c>
      <x:c r="U112" s="56" t="str">
        <x:v>2026-06-30 13:49:53</x:v>
      </x:c>
    </x:row>
    <x:row r="113">
      <x:c r="A113" s="57" t="str">
        <x:v>VS03</x:v>
      </x:c>
      <x:c r="B113" s="58" t="str">
        <x:v>Khăn giấy vệ sinh</x:v>
      </x:c>
      <x:c r="C113" s="58" t="str">
        <x:v>Nguyên liệu</x:v>
      </x:c>
      <x:c r="D113" s="58" t="str">
        <x:v>Vệ sinh</x:v>
      </x:c>
      <x:c r="E113" s="58" t="str">
        <x:v>raw / active</x:v>
      </x:c>
      <x:c r="F113" s="58" t="str">
        <x:v>tui</x:v>
      </x:c>
      <x:c r="G113" s="58" t="str">
        <x:v>tui</x:v>
      </x:c>
      <x:c r="H113" s="59" t="n">
        <x:v>1</x:v>
      </x:c>
      <x:c r="I113" s="60" t="n">
        <x:v>0</x:v>
      </x:c>
      <x:c r="J113" s="60" t="n">
        <x:v>0</x:v>
      </x:c>
      <x:c r="K113" s="60" t="n">
        <x:v>0</x:v>
      </x:c>
      <x:c r="L113" s="60" t="n">
        <x:f>IF(J113&gt;0,K113/J113,I113)</x:f>
        <x:v>0</x:v>
      </x:c>
      <x:c r="M113" s="60" t="n">
        <x:f>J113*L113</x:f>
        <x:v>0</x:v>
      </x:c>
      <x:c r="N113" s="59" t="n">
        <x:v>0</x:v>
      </x:c>
      <x:c r="O113" s="59" t="n">
        <x:f>N113-J113</x:f>
        <x:v>0</x:v>
      </x:c>
      <x:c r="P113" s="59" t="n">
        <x:v>0</x:v>
      </x:c>
      <x:c r="Q113" s="59" t="n">
        <x:f>MAX(0,P113-J113)</x:f>
        <x:v>0</x:v>
      </x:c>
      <x:c r="R113" s="58" t="str">
        <x:v>Có</x:v>
      </x:c>
      <x:c r="S113" s="58" t="str">
        <x:v>1 tui = 1 tui</x:v>
      </x:c>
      <x:c r="T113" s="58" t="str"/>
      <x:c r="U113" s="61" t="str">
        <x:v>2026-05-15 01:46:03</x:v>
      </x:c>
    </x:row>
  </x:sheetData>
  <x:mergeCells>
    <x:mergeCell ref="A1:U1"/>
    <x:mergeCell ref="A2:U2"/>
  </x:mergeCells>
  <x:conditionalFormatting sqref="Q7:Q113">
    <x:cfRule type="cellIs" dxfId="0" priority="1" operator="greaterThan">
      <x:formula>0</x:formula>
    </x:cfRule>
  </x:conditionalFormatting>
  <x:conditionalFormatting sqref="O7:O113">
    <x:cfRule type="cellIs" dxfId="1" priority="2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e7404b006843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3" hidden="0" customWidth="1"/>
    <x:col min="5" max="5" width="9" hidden="0" customWidth="1"/>
    <x:col min="6" max="6" width="26" hidden="0" customWidth="1"/>
    <x:col min="7" max="7" width="14" hidden="0" customWidth="1"/>
    <x:col min="8" max="8" width="12" hidden="0" customWidth="1"/>
    <x:col min="9" max="9" width="34" hidden="0" customWidth="1"/>
    <x:col min="10" max="10" width="28" hidden="0" customWidth="1"/>
  </x:cols>
  <x:sheetData>
    <x:row r="1">
      <x:c r="A1" s="30" t="str">
        <x:v>Thành phẩm / Thực đơn gắn tiêu hao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>
      <x:c r="A2" s="49" t="str">
        <x:v>Nguồn: Supabase matu-prod (dyksphedgzqsqjqgxzog), snapshot 2026-07-01T10:30:40.435Z. Chỉ đọc dữ liệu public inventory/menu/recipe.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50" t="str">
        <x:v>Số món</x:v>
      </x:c>
      <x:c r="B3" s="50" t="n">
        <x:v>20</x:v>
      </x:c>
      <x:c r="C3" s="50" t="str">
        <x:v>Recipe tiêu hao menu</x:v>
      </x:c>
      <x:c r="D3" s="50" t="n">
        <x:v>0</x:v>
      </x:c>
      <x:c r="E3" s="50" t="str">
        <x:v>Danh mục</x:v>
      </x:c>
      <x:c r="F3" s="50" t="n">
        <x:v>3</x:v>
      </x:c>
      <x:c r="G3" s="50" t="str"/>
      <x:c r="H3" s="50" t="str"/>
      <x:c r="I3" s="50" t="str"/>
      <x:c r="J3" s="50" t="str"/>
    </x:row>
    <x:row r="4">
      <x:c r="A4" s="50" t="str">
        <x:v>Ghi chú</x:v>
      </x:c>
      <x:c r="B4" s="50" t="str">
        <x:v>Chưa có recipe kind=menu trong snapshot này</x:v>
      </x:c>
      <x:c r="C4" s="50" t="str"/>
      <x:c r="D4" s="50" t="str"/>
      <x:c r="E4" s="50" t="str"/>
      <x:c r="F4" s="50" t="str"/>
      <x:c r="G4" s="50" t="str"/>
      <x:c r="H4" s="50" t="str"/>
      <x:c r="I4" s="50" t="str"/>
      <x:c r="J4" s="50" t="str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6">
      <x:c r="A6" s="35" t="str">
        <x:v>Mã món</x:v>
      </x:c>
      <x:c r="B6" s="36" t="str">
        <x:v>Tên món</x:v>
      </x:c>
      <x:c r="C6" s="36" t="str">
        <x:v>Danh mục thực đơn</x:v>
      </x:c>
      <x:c r="D6" s="36" t="str">
        <x:v>Giá bán</x:v>
      </x:c>
      <x:c r="E6" s="36" t="str">
        <x:v>Active</x:v>
      </x:c>
      <x:c r="F6" s="36" t="str">
        <x:v>Recipe tiêu hao</x:v>
      </x:c>
      <x:c r="G6" s="36" t="str">
        <x:v>Số dòng tiêu hao</x:v>
      </x:c>
      <x:c r="H6" s="36" t="str">
        <x:v>Recipe active</x:v>
      </x:c>
      <x:c r="I6" s="36" t="str">
        <x:v>Recipe ID</x:v>
      </x:c>
      <x:c r="J6" s="37" t="str">
        <x:v>Ghi chú gắn tiêu hao</x:v>
      </x:c>
    </x:row>
    <x:row r="7">
      <x:c r="A7" s="52" t="str">
        <x:v>CK-COCA</x:v>
      </x:c>
      <x:c r="B7" s="53" t="str">
        <x:v>Coca Cola</x:v>
      </x:c>
      <x:c r="C7" s="53" t="str">
        <x:v>Nước</x:v>
      </x:c>
      <x:c r="D7" s="55" t="n">
        <x:v>15000</x:v>
      </x:c>
      <x:c r="E7" s="53" t="str">
        <x:v>Có</x:v>
      </x:c>
      <x:c r="F7" s="53" t="str"/>
      <x:c r="G7" s="53" t="n">
        <x:v>0</x:v>
      </x:c>
      <x:c r="H7" s="53" t="str"/>
      <x:c r="I7" s="53" t="str"/>
      <x:c r="J7" s="56" t="str">
        <x:v>Chưa khai báo recipe kind=menu</x:v>
      </x:c>
    </x:row>
    <x:row r="8">
      <x:c r="A8" s="52" t="str">
        <x:v>CK-TRATAC</x:v>
      </x:c>
      <x:c r="B8" s="53" t="str">
        <x:v>Trà tắc</x:v>
      </x:c>
      <x:c r="C8" s="53" t="str">
        <x:v>Nước</x:v>
      </x:c>
      <x:c r="D8" s="55" t="n">
        <x:v>15000</x:v>
      </x:c>
      <x:c r="E8" s="53" t="str">
        <x:v>Có</x:v>
      </x:c>
      <x:c r="F8" s="53" t="str"/>
      <x:c r="G8" s="53" t="n">
        <x:v>0</x:v>
      </x:c>
      <x:c r="H8" s="53" t="str"/>
      <x:c r="I8" s="53" t="str"/>
      <x:c r="J8" s="56" t="str">
        <x:v>Chưa khai báo recipe kind=menu</x:v>
      </x:c>
    </x:row>
    <x:row r="9">
      <x:c r="A9" s="52" t="str">
        <x:v>CT-BI</x:v>
      </x:c>
      <x:c r="B9" s="53" t="str">
        <x:v>Bì</x:v>
      </x:c>
      <x:c r="C9" s="53" t="str">
        <x:v>Ăn kèm</x:v>
      </x:c>
      <x:c r="D9" s="55" t="n">
        <x:v>7000</x:v>
      </x:c>
      <x:c r="E9" s="53" t="str">
        <x:v>Có</x:v>
      </x:c>
      <x:c r="F9" s="53" t="str"/>
      <x:c r="G9" s="53" t="n">
        <x:v>0</x:v>
      </x:c>
      <x:c r="H9" s="53" t="str"/>
      <x:c r="I9" s="53" t="str"/>
      <x:c r="J9" s="56" t="str">
        <x:v>Chưa khai báo recipe kind=menu</x:v>
      </x:c>
    </x:row>
    <x:row r="10">
      <x:c r="A10" s="52" t="str">
        <x:v>CT-CHA</x:v>
      </x:c>
      <x:c r="B10" s="53" t="str">
        <x:v>Chả</x:v>
      </x:c>
      <x:c r="C10" s="53" t="str">
        <x:v>Ăn kèm</x:v>
      </x:c>
      <x:c r="D10" s="55" t="n">
        <x:v>7000</x:v>
      </x:c>
      <x:c r="E10" s="53" t="str">
        <x:v>Có</x:v>
      </x:c>
      <x:c r="F10" s="53" t="str"/>
      <x:c r="G10" s="53" t="n">
        <x:v>0</x:v>
      </x:c>
      <x:c r="H10" s="53" t="str"/>
      <x:c r="I10" s="53" t="str"/>
      <x:c r="J10" s="56" t="str">
        <x:v>Chưa khai báo recipe kind=menu</x:v>
      </x:c>
    </x:row>
    <x:row r="11">
      <x:c r="A11" s="52" t="str">
        <x:v>CT-COM</x:v>
      </x:c>
      <x:c r="B11" s="53" t="str">
        <x:v>Cơm</x:v>
      </x:c>
      <x:c r="C11" s="53" t="str">
        <x:v>Ăn kèm</x:v>
      </x:c>
      <x:c r="D11" s="55" t="n">
        <x:v>5000</x:v>
      </x:c>
      <x:c r="E11" s="53" t="str">
        <x:v>Có</x:v>
      </x:c>
      <x:c r="F11" s="53" t="str"/>
      <x:c r="G11" s="53" t="n">
        <x:v>0</x:v>
      </x:c>
      <x:c r="H11" s="53" t="str"/>
      <x:c r="I11" s="53" t="str"/>
      <x:c r="J11" s="56" t="str">
        <x:v>Chưa khai báo recipe kind=menu</x:v>
      </x:c>
    </x:row>
    <x:row r="12">
      <x:c r="A12" s="52" t="str">
        <x:v>CT-COMBI</x:v>
      </x:c>
      <x:c r="B12" s="53" t="str">
        <x:v>Cơm tấm bì</x:v>
      </x:c>
      <x:c r="C12" s="53" t="str">
        <x:v>Cơm</x:v>
      </x:c>
      <x:c r="D12" s="55" t="n">
        <x:v>20000</x:v>
      </x:c>
      <x:c r="E12" s="53" t="str">
        <x:v>Có</x:v>
      </x:c>
      <x:c r="F12" s="53" t="str"/>
      <x:c r="G12" s="53" t="n">
        <x:v>0</x:v>
      </x:c>
      <x:c r="H12" s="53" t="str"/>
      <x:c r="I12" s="53" t="str"/>
      <x:c r="J12" s="56" t="str">
        <x:v>Chưa khai báo recipe kind=menu</x:v>
      </x:c>
    </x:row>
    <x:row r="13">
      <x:c r="A13" s="52" t="str">
        <x:v>CT-COMCHA</x:v>
      </x:c>
      <x:c r="B13" s="53" t="str">
        <x:v>Cơm tấm chả</x:v>
      </x:c>
      <x:c r="C13" s="53" t="str">
        <x:v>Cơm</x:v>
      </x:c>
      <x:c r="D13" s="55" t="n">
        <x:v>20000</x:v>
      </x:c>
      <x:c r="E13" s="53" t="str">
        <x:v>Có</x:v>
      </x:c>
      <x:c r="F13" s="53" t="str"/>
      <x:c r="G13" s="53" t="n">
        <x:v>0</x:v>
      </x:c>
      <x:c r="H13" s="53" t="str"/>
      <x:c r="I13" s="53" t="str"/>
      <x:c r="J13" s="56" t="str">
        <x:v>Chưa khai báo recipe kind=menu</x:v>
      </x:c>
    </x:row>
    <x:row r="14">
      <x:c r="A14" s="52" t="str">
        <x:v>CT-COMTRUNG</x:v>
      </x:c>
      <x:c r="B14" s="53" t="str">
        <x:v>Cơm tấm trứng</x:v>
      </x:c>
      <x:c r="C14" s="53" t="str">
        <x:v>Cơm</x:v>
      </x:c>
      <x:c r="D14" s="55" t="n">
        <x:v>20000</x:v>
      </x:c>
      <x:c r="E14" s="53" t="str">
        <x:v>Có</x:v>
      </x:c>
      <x:c r="F14" s="53" t="str"/>
      <x:c r="G14" s="53" t="n">
        <x:v>0</x:v>
      </x:c>
      <x:c r="H14" s="53" t="str"/>
      <x:c r="I14" s="53" t="str"/>
      <x:c r="J14" s="56" t="str">
        <x:v>Chưa khai báo recipe kind=menu</x:v>
      </x:c>
    </x:row>
    <x:row r="15">
      <x:c r="A15" s="52" t="str">
        <x:v>CT-CONG</x:v>
      </x:c>
      <x:c r="B15" s="53" t="str">
        <x:v>Cơm sườn cọng</x:v>
      </x:c>
      <x:c r="C15" s="53" t="str">
        <x:v>Cơm</x:v>
      </x:c>
      <x:c r="D15" s="55" t="n">
        <x:v>45000</x:v>
      </x:c>
      <x:c r="E15" s="53" t="str">
        <x:v>Có</x:v>
      </x:c>
      <x:c r="F15" s="53" t="str"/>
      <x:c r="G15" s="53" t="n">
        <x:v>0</x:v>
      </x:c>
      <x:c r="H15" s="53" t="str"/>
      <x:c r="I15" s="53" t="str"/>
      <x:c r="J15" s="56" t="str">
        <x:v>Chưa khai báo recipe kind=menu</x:v>
      </x:c>
    </x:row>
    <x:row r="16">
      <x:c r="A16" s="52" t="str">
        <x:v>CT-COTLET</x:v>
      </x:c>
      <x:c r="B16" s="53" t="str">
        <x:v>Cơm sườn cốt lết</x:v>
      </x:c>
      <x:c r="C16" s="53" t="str">
        <x:v>Cơm</x:v>
      </x:c>
      <x:c r="D16" s="55" t="n">
        <x:v>35000</x:v>
      </x:c>
      <x:c r="E16" s="53" t="str">
        <x:v>Có</x:v>
      </x:c>
      <x:c r="F16" s="53" t="str"/>
      <x:c r="G16" s="53" t="n">
        <x:v>0</x:v>
      </x:c>
      <x:c r="H16" s="53" t="str"/>
      <x:c r="I16" s="53" t="str"/>
      <x:c r="J16" s="56" t="str">
        <x:v>Chưa khai báo recipe kind=menu</x:v>
      </x:c>
    </x:row>
    <x:row r="17">
      <x:c r="A17" s="52" t="str">
        <x:v>CT-MOTGANG</x:v>
      </x:c>
      <x:c r="B17" s="53" t="str">
        <x:v>Cơm sườn một gang</x:v>
      </x:c>
      <x:c r="C17" s="53" t="str">
        <x:v>Cơm</x:v>
      </x:c>
      <x:c r="D17" s="55" t="n">
        <x:v>80000</x:v>
      </x:c>
      <x:c r="E17" s="53" t="str">
        <x:v>Có</x:v>
      </x:c>
      <x:c r="F17" s="53" t="str"/>
      <x:c r="G17" s="53" t="n">
        <x:v>0</x:v>
      </x:c>
      <x:c r="H17" s="53" t="str"/>
      <x:c r="I17" s="53" t="str"/>
      <x:c r="J17" s="56" t="str">
        <x:v>Chưa khai báo recipe kind=menu</x:v>
      </x:c>
    </x:row>
    <x:row r="18">
      <x:c r="A18" s="52" t="str">
        <x:v>CT-TRUNG</x:v>
      </x:c>
      <x:c r="B18" s="53" t="str">
        <x:v>Trứng</x:v>
      </x:c>
      <x:c r="C18" s="53" t="str">
        <x:v>Ăn kèm</x:v>
      </x:c>
      <x:c r="D18" s="55" t="n">
        <x:v>5000</x:v>
      </x:c>
      <x:c r="E18" s="53" t="str">
        <x:v>Có</x:v>
      </x:c>
      <x:c r="F18" s="53" t="str"/>
      <x:c r="G18" s="53" t="n">
        <x:v>0</x:v>
      </x:c>
      <x:c r="H18" s="53" t="str"/>
      <x:c r="I18" s="53" t="str"/>
      <x:c r="J18" s="56" t="str">
        <x:v>Chưa khai báo recipe kind=menu</x:v>
      </x:c>
    </x:row>
    <x:row r="19">
      <x:c r="A19" s="52" t="str">
        <x:v>GK-7UP</x:v>
      </x:c>
      <x:c r="B19" s="53" t="str">
        <x:v>7UP</x:v>
      </x:c>
      <x:c r="C19" s="53" t="str">
        <x:v>Nước</x:v>
      </x:c>
      <x:c r="D19" s="55" t="n">
        <x:v>15000</x:v>
      </x:c>
      <x:c r="E19" s="53" t="str">
        <x:v>Có</x:v>
      </x:c>
      <x:c r="F19" s="53" t="str"/>
      <x:c r="G19" s="53" t="n">
        <x:v>0</x:v>
      </x:c>
      <x:c r="H19" s="53" t="str"/>
      <x:c r="I19" s="53" t="str"/>
      <x:c r="J19" s="56" t="str">
        <x:v>Chưa khai báo recipe kind=menu</x:v>
      </x:c>
    </x:row>
    <x:row r="20">
      <x:c r="A20" s="52" t="str">
        <x:v>GK-CAM</x:v>
      </x:c>
      <x:c r="B20" s="53" t="str">
        <x:v>Cam ép</x:v>
      </x:c>
      <x:c r="C20" s="53" t="str">
        <x:v>Nước</x:v>
      </x:c>
      <x:c r="D20" s="55" t="n">
        <x:v>15000</x:v>
      </x:c>
      <x:c r="E20" s="53" t="str">
        <x:v>Có</x:v>
      </x:c>
      <x:c r="F20" s="53" t="str"/>
      <x:c r="G20" s="53" t="n">
        <x:v>0</x:v>
      </x:c>
      <x:c r="H20" s="53" t="str"/>
      <x:c r="I20" s="53" t="str"/>
      <x:c r="J20" s="56" t="str">
        <x:v>Chưa khai báo recipe kind=menu</x:v>
      </x:c>
    </x:row>
    <x:row r="21">
      <x:c r="A21" s="52" t="str">
        <x:v>GK-CAPHE</x:v>
      </x:c>
      <x:c r="B21" s="53" t="str">
        <x:v>Cà Phê</x:v>
      </x:c>
      <x:c r="C21" s="53" t="str">
        <x:v>Nước</x:v>
      </x:c>
      <x:c r="D21" s="55" t="n">
        <x:v>30000</x:v>
      </x:c>
      <x:c r="E21" s="53" t="str">
        <x:v>Có</x:v>
      </x:c>
      <x:c r="F21" s="53" t="str"/>
      <x:c r="G21" s="53" t="n">
        <x:v>0</x:v>
      </x:c>
      <x:c r="H21" s="53" t="str"/>
      <x:c r="I21" s="53" t="str"/>
      <x:c r="J21" s="56" t="str">
        <x:v>Chưa khai báo recipe kind=menu</x:v>
      </x:c>
    </x:row>
    <x:row r="22">
      <x:c r="A22" s="52" t="str">
        <x:v>GK-FANTA</x:v>
      </x:c>
      <x:c r="B22" s="53" t="str">
        <x:v>Fanta</x:v>
      </x:c>
      <x:c r="C22" s="53" t="str">
        <x:v>Nước</x:v>
      </x:c>
      <x:c r="D22" s="55" t="n">
        <x:v>15000</x:v>
      </x:c>
      <x:c r="E22" s="53" t="str">
        <x:v>Có</x:v>
      </x:c>
      <x:c r="F22" s="53" t="str"/>
      <x:c r="G22" s="53" t="n">
        <x:v>0</x:v>
      </x:c>
      <x:c r="H22" s="53" t="str"/>
      <x:c r="I22" s="53" t="str"/>
      <x:c r="J22" s="56" t="str">
        <x:v>Chưa khai báo recipe kind=menu</x:v>
      </x:c>
    </x:row>
    <x:row r="23">
      <x:c r="A23" s="52" t="str">
        <x:v>GK-RAUMA</x:v>
      </x:c>
      <x:c r="B23" s="53" t="str">
        <x:v>Rau má</x:v>
      </x:c>
      <x:c r="C23" s="53" t="str">
        <x:v>Nước</x:v>
      </x:c>
      <x:c r="D23" s="55" t="n">
        <x:v>15000</x:v>
      </x:c>
      <x:c r="E23" s="53" t="str">
        <x:v>Có</x:v>
      </x:c>
      <x:c r="F23" s="53" t="str"/>
      <x:c r="G23" s="53" t="n">
        <x:v>0</x:v>
      </x:c>
      <x:c r="H23" s="53" t="str"/>
      <x:c r="I23" s="53" t="str"/>
      <x:c r="J23" s="56" t="str">
        <x:v>Chưa khai báo recipe kind=menu</x:v>
      </x:c>
    </x:row>
    <x:row r="24">
      <x:c r="A24" s="52" t="str">
        <x:v>GK-SUOI</x:v>
      </x:c>
      <x:c r="B24" s="53" t="str">
        <x:v>Nước suối</x:v>
      </x:c>
      <x:c r="C24" s="53" t="str">
        <x:v>Nước</x:v>
      </x:c>
      <x:c r="D24" s="55" t="n">
        <x:v>10000</x:v>
      </x:c>
      <x:c r="E24" s="53" t="str">
        <x:v>Có</x:v>
      </x:c>
      <x:c r="F24" s="53" t="str"/>
      <x:c r="G24" s="53" t="n">
        <x:v>0</x:v>
      </x:c>
      <x:c r="H24" s="53" t="str"/>
      <x:c r="I24" s="53" t="str"/>
      <x:c r="J24" s="56" t="str">
        <x:v>Chưa khai báo recipe kind=menu</x:v>
      </x:c>
    </x:row>
    <x:row r="25">
      <x:c r="A25" s="52" t="str">
        <x:v>GK-TRADA</x:v>
      </x:c>
      <x:c r="B25" s="53" t="str">
        <x:v>Trà đá</x:v>
      </x:c>
      <x:c r="C25" s="53" t="str">
        <x:v>Nước</x:v>
      </x:c>
      <x:c r="D25" s="55" t="n">
        <x:v>2000</x:v>
      </x:c>
      <x:c r="E25" s="53" t="str">
        <x:v>Có</x:v>
      </x:c>
      <x:c r="F25" s="53" t="str"/>
      <x:c r="G25" s="53" t="n">
        <x:v>0</x:v>
      </x:c>
      <x:c r="H25" s="53" t="str"/>
      <x:c r="I25" s="53" t="str"/>
      <x:c r="J25" s="56" t="str">
        <x:v>Chưa khai báo recipe kind=menu</x:v>
      </x:c>
    </x:row>
    <x:row r="26">
      <x:c r="A26" s="57" t="str">
        <x:v>IMP-KHAN-LANH</x:v>
      </x:c>
      <x:c r="B26" s="58" t="str">
        <x:v>Khăn lạnh</x:v>
      </x:c>
      <x:c r="C26" s="58" t="str">
        <x:v>Ăn kèm</x:v>
      </x:c>
      <x:c r="D26" s="60" t="n">
        <x:v>2000</x:v>
      </x:c>
      <x:c r="E26" s="58" t="str">
        <x:v>Không</x:v>
      </x:c>
      <x:c r="F26" s="58" t="str"/>
      <x:c r="G26" s="58" t="n">
        <x:v>0</x:v>
      </x:c>
      <x:c r="H26" s="58" t="str"/>
      <x:c r="I26" s="58" t="str"/>
      <x:c r="J26" s="61" t="str">
        <x:v>Chưa khai báo recipe kind=menu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4dc323b8da742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2" hidden="0" customWidth="1"/>
    <x:col min="4" max="4" width="30" hidden="0" customWidth="1"/>
    <x:col min="5" max="5" width="12" hidden="0" customWidth="1"/>
    <x:col min="6" max="6" width="11" hidden="0" customWidth="1"/>
    <x:col min="7" max="7" width="12" hidden="0" customWidth="1"/>
    <x:col min="8" max="8" width="30" hidden="0" customWidth="1"/>
    <x:col min="9" max="9" width="18" hidden="0" customWidth="1"/>
    <x:col min="10" max="10" width="12" hidden="0" customWidth="1"/>
    <x:col min="11" max="11" width="10" hidden="0" customWidth="1"/>
    <x:col min="12" max="12" width="13" hidden="0" customWidth="1"/>
    <x:col min="13" max="13" width="15" hidden="0" customWidth="1"/>
    <x:col min="14" max="14" width="17" hidden="0" customWidth="1"/>
    <x:col min="15" max="15" width="16" hidden="0" customWidth="1"/>
    <x:col min="16" max="16" width="18" hidden="0" customWidth="1"/>
    <x:col min="17" max="17" width="24" hidden="0" customWidth="1"/>
    <x:col min="18" max="18" width="34" hidden="0" customWidth="1"/>
    <x:col min="19" max="19" width="34" hidden="0" customWidth="1"/>
  </x:cols>
  <x:sheetData>
    <x:row r="1">
      <x:c r="A1" s="30" t="str">
        <x:v>Công thức sản xuất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</x:row>
    <x:row r="2">
      <x:c r="A2" s="49" t="str">
        <x:v>Nguồn: Supabase matu-prod (dyksphedgzqsqjqgxzog), snapshot 2026-07-01T10:30:40.435Z. Chỉ đọc dữ liệu public inventory/menu/recipe. Sheet này chỉ lấy recipes.kind='production', không lấy định mức phần bán kind='menu'.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</x:row>
    <x:row r="3">
      <x:c r="A3" s="50" t="str">
        <x:v>Production recipe</x:v>
      </x:c>
      <x:c r="B3" s="50" t="n">
        <x:v>14</x:v>
      </x:c>
      <x:c r="C3" s="50" t="str">
        <x:v>Dòng nguyên liệu</x:v>
      </x:c>
      <x:c r="D3" s="50" t="n">
        <x:v>102</x:v>
      </x:c>
      <x:c r="E3" s="50" t="str">
        <x:v>Production runs</x:v>
      </x:c>
      <x:c r="F3" s="50" t="n">
        <x:v>176</x:v>
      </x:c>
      <x:c r="G3" s="50" t="str"/>
      <x:c r="H3" s="50" t="str"/>
      <x:c r="I3" s="50" t="str"/>
      <x:c r="J3" s="50" t="str"/>
      <x:c r="K3" s="50" t="str"/>
      <x:c r="L3" s="50" t="str"/>
      <x:c r="M3" s="50" t="str"/>
      <x:c r="N3" s="50" t="str"/>
      <x:c r="O3" s="50" t="str"/>
      <x:c r="P3" s="50" t="str"/>
      <x:c r="Q3" s="50" t="str"/>
      <x:c r="R3" s="50" t="str"/>
      <x:c r="S3" s="50" t="str"/>
    </x:row>
    <x:row r="4">
      <x:c r="A4" s="50" t="str">
        <x:v>Tổng giá trị recipe line</x:v>
      </x:c>
      <x:c r="B4" s="51" t="n">
        <x:f>SUM(M7:M108)</x:f>
        <x:v>2382697.6307607926</x:v>
      </x:c>
      <x:c r="C4" s="50" t="str">
        <x:v>Công thức active</x:v>
      </x:c>
      <x:c r="D4" s="50" t="n">
        <x:v>14</x:v>
      </x:c>
      <x:c r="E4" s="50" t="str"/>
      <x:c r="F4" s="50" t="str"/>
      <x:c r="G4" s="50" t="str"/>
      <x:c r="H4" s="50" t="str"/>
      <x:c r="I4" s="50" t="str"/>
      <x:c r="J4" s="50" t="str"/>
      <x:c r="K4" s="50" t="str"/>
      <x:c r="L4" s="50" t="str"/>
      <x:c r="M4" s="50" t="str"/>
      <x:c r="N4" s="50" t="str"/>
      <x:c r="O4" s="50" t="str"/>
      <x:c r="P4" s="50" t="str"/>
      <x:c r="Q4" s="50" t="str"/>
      <x:c r="R4" s="50" t="str"/>
      <x:c r="S4" s="50" t="str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</x:row>
    <x:row r="6">
      <x:c r="A6" s="35" t="str">
        <x:v>Công thức</x:v>
      </x:c>
      <x:c r="B6" s="36" t="str">
        <x:v>Active</x:v>
      </x:c>
      <x:c r="C6" s="36" t="str">
        <x:v>Mã TP</x:v>
      </x:c>
      <x:c r="D6" s="36" t="str">
        <x:v>Thành phẩm output</x:v>
      </x:c>
      <x:c r="E6" s="36" t="str">
        <x:v>Sản lượng</x:v>
      </x:c>
      <x:c r="F6" s="36" t="str">
        <x:v>ĐVT output</x:v>
      </x:c>
      <x:c r="G6" s="36" t="str">
        <x:v>Mã NL</x:v>
      </x:c>
      <x:c r="H6" s="36" t="str">
        <x:v>Nguyên liệu</x:v>
      </x:c>
      <x:c r="I6" s="36" t="str">
        <x:v>Danh mục NL</x:v>
      </x:c>
      <x:c r="J6" s="36" t="str">
        <x:v>Số lượng</x:v>
      </x:c>
      <x:c r="K6" s="36" t="str">
        <x:v>ĐVT NL</x:v>
      </x:c>
      <x:c r="L6" s="36" t="str">
        <x:v>WAG NL</x:v>
      </x:c>
      <x:c r="M6" s="36" t="str">
        <x:v>Giá trị tiêu hao</x:v>
      </x:c>
      <x:c r="N6" s="36" t="str">
        <x:v>Tổng giá trị công thức</x:v>
      </x:c>
      <x:c r="O6" s="36" t="str">
        <x:v>Giá vốn output/ĐVT</x:v>
      </x:c>
      <x:c r="P6" s="36" t="str">
        <x:v>Lần SX cuối</x:v>
      </x:c>
      <x:c r="Q6" s="36" t="str">
        <x:v>Ghi chú</x:v>
      </x:c>
      <x:c r="R6" s="36" t="str">
        <x:v>Recipe ID</x:v>
      </x:c>
      <x:c r="S6" s="37" t="str">
        <x:v>Material ID</x:v>
      </x:c>
    </x:row>
    <x:row r="7">
      <x:c r="A7" s="52" t="str">
        <x:v>Bì-thành phẩm</x:v>
      </x:c>
      <x:c r="B7" s="53" t="str">
        <x:v>Có</x:v>
      </x:c>
      <x:c r="C7" s="53" t="str">
        <x:v>T012</x:v>
      </x:c>
      <x:c r="D7" s="53" t="str">
        <x:v>Bì-thành phẩm</x:v>
      </x:c>
      <x:c r="E7" s="54" t="n">
        <x:v>1</x:v>
      </x:c>
      <x:c r="F7" s="54" t="str">
        <x:v>kg</x:v>
      </x:c>
      <x:c r="G7" s="54" t="str">
        <x:v>GV06</x:v>
      </x:c>
      <x:c r="H7" s="54" t="str">
        <x:v>Muối</x:v>
      </x:c>
      <x:c r="I7" s="54" t="str">
        <x:v>Gia vị</x:v>
      </x:c>
      <x:c r="J7" s="54" t="n">
        <x:v>20</x:v>
      </x:c>
      <x:c r="K7" s="54" t="str">
        <x:v>g</x:v>
      </x:c>
      <x:c r="L7" s="55" t="n">
        <x:f>IFERROR(INDEX('Tổng'!$L$7:$L$113,MATCH(G7,'Tổng'!$A$7:$A$113,0)),0)</x:f>
        <x:v>10</x:v>
      </x:c>
      <x:c r="M7" s="55" t="n">
        <x:f>J7*L7</x:f>
        <x:v>200</x:v>
      </x:c>
      <x:c r="N7" s="55" t="n">
        <x:f>SUMIF($A$7:$A$108,A7,$M$7:$M$108)</x:f>
        <x:v>65196.54948</x:v>
      </x:c>
      <x:c r="O7" s="55" t="n">
        <x:f>IF(E7&gt;0,N7/E7,0)</x:f>
        <x:v>65196.54948</x:v>
      </x:c>
      <x:c r="P7" s="53" t="str"/>
      <x:c r="Q7" s="53" t="str"/>
      <x:c r="R7" s="53" t="str">
        <x:v>6f94d7b7-2783-4517-9b23-ac6bdc12daec</x:v>
      </x:c>
      <x:c r="S7" s="56" t="str">
        <x:v>6e7d837f-594a-4ce7-a869-39bdc38e8784</x:v>
      </x:c>
    </x:row>
    <x:row r="8">
      <x:c r="A8" s="52" t="str">
        <x:v>Bì-thành phẩm</x:v>
      </x:c>
      <x:c r="B8" s="53" t="str">
        <x:v>Có</x:v>
      </x:c>
      <x:c r="C8" s="53" t="str">
        <x:v>T012</x:v>
      </x:c>
      <x:c r="D8" s="53" t="str">
        <x:v>Bì-thành phẩm</x:v>
      </x:c>
      <x:c r="E8" s="54" t="n">
        <x:v>1</x:v>
      </x:c>
      <x:c r="F8" s="54" t="str">
        <x:v>kg</x:v>
      </x:c>
      <x:c r="G8" s="54" t="str">
        <x:v>NM50</x:v>
      </x:c>
      <x:c r="H8" s="54" t="str">
        <x:v>Nước mắm Hạnh Phúc 50</x:v>
      </x:c>
      <x:c r="I8" s="54" t="str">
        <x:v>Gia vị</x:v>
      </x:c>
      <x:c r="J8" s="54" t="n">
        <x:v>20</x:v>
      </x:c>
      <x:c r="K8" s="54" t="str">
        <x:v>ml</x:v>
      </x:c>
      <x:c r="L8" s="55" t="n">
        <x:f>IFERROR(INDEX('Tổng'!$L$7:$L$113,MATCH(G8,'Tổng'!$A$7:$A$113,0)),0)</x:f>
        <x:v>234.03799999999998</x:v>
      </x:c>
      <x:c r="M8" s="55" t="n">
        <x:f>J8*L8</x:f>
        <x:v>4680.759999999999</x:v>
      </x:c>
      <x:c r="N8" s="55" t="n">
        <x:f>SUMIF($A$7:$A$108,A8,$M$7:$M$108)</x:f>
        <x:v>65196.54948</x:v>
      </x:c>
      <x:c r="O8" s="55" t="n">
        <x:f>IF(E8&gt;0,N8/E8,0)</x:f>
        <x:v>65196.54948</x:v>
      </x:c>
      <x:c r="P8" s="53" t="str"/>
      <x:c r="Q8" s="53" t="str"/>
      <x:c r="R8" s="53" t="str">
        <x:v>6f94d7b7-2783-4517-9b23-ac6bdc12daec</x:v>
      </x:c>
      <x:c r="S8" s="56" t="str">
        <x:v>d2923357-be91-4b31-b6e2-0969ce591ce4</x:v>
      </x:c>
    </x:row>
    <x:row r="9">
      <x:c r="A9" s="52" t="str">
        <x:v>Bì-thành phẩm</x:v>
      </x:c>
      <x:c r="B9" s="53" t="str">
        <x:v>Có</x:v>
      </x:c>
      <x:c r="C9" s="53" t="str">
        <x:v>T012</x:v>
      </x:c>
      <x:c r="D9" s="53" t="str">
        <x:v>Bì-thành phẩm</x:v>
      </x:c>
      <x:c r="E9" s="54" t="n">
        <x:v>1</x:v>
      </x:c>
      <x:c r="F9" s="54" t="str">
        <x:v>kg</x:v>
      </x:c>
      <x:c r="G9" s="54" t="str">
        <x:v>GV16</x:v>
      </x:c>
      <x:c r="H9" s="54" t="str">
        <x:v>Giấm ăn Thăng Long</x:v>
      </x:c>
      <x:c r="I9" s="54" t="str">
        <x:v>Gia vị</x:v>
      </x:c>
      <x:c r="J9" s="54" t="n">
        <x:v>40</x:v>
      </x:c>
      <x:c r="K9" s="54" t="str">
        <x:v>ml</x:v>
      </x:c>
      <x:c r="L9" s="55" t="n">
        <x:f>IFERROR(INDEX('Tổng'!$L$7:$L$113,MATCH(G9,'Tổng'!$A$7:$A$113,0)),0)</x:f>
        <x:v>7.894737</x:v>
      </x:c>
      <x:c r="M9" s="55" t="n">
        <x:f>J9*L9</x:f>
        <x:v>315.78948</x:v>
      </x:c>
      <x:c r="N9" s="55" t="n">
        <x:f>SUMIF($A$7:$A$108,A9,$M$7:$M$108)</x:f>
        <x:v>65196.54948</x:v>
      </x:c>
      <x:c r="O9" s="55" t="n">
        <x:f>IF(E9&gt;0,N9/E9,0)</x:f>
        <x:v>65196.54948</x:v>
      </x:c>
      <x:c r="P9" s="53" t="str"/>
      <x:c r="Q9" s="53" t="str"/>
      <x:c r="R9" s="53" t="str">
        <x:v>6f94d7b7-2783-4517-9b23-ac6bdc12daec</x:v>
      </x:c>
      <x:c r="S9" s="56" t="str">
        <x:v>ad578aab-6be7-4de8-9c61-40655c483045</x:v>
      </x:c>
    </x:row>
    <x:row r="10">
      <x:c r="A10" s="52" t="str">
        <x:v>Bì-thành phẩm</x:v>
      </x:c>
      <x:c r="B10" s="53" t="str">
        <x:v>Có</x:v>
      </x:c>
      <x:c r="C10" s="53" t="str">
        <x:v>T012</x:v>
      </x:c>
      <x:c r="D10" s="53" t="str">
        <x:v>Bì-thành phẩm</x:v>
      </x:c>
      <x:c r="E10" s="54" t="n">
        <x:v>1</x:v>
      </x:c>
      <x:c r="F10" s="54" t="str">
        <x:v>kg</x:v>
      </x:c>
      <x:c r="G10" s="54" t="str">
        <x:v>T009</x:v>
      </x:c>
      <x:c r="H10" s="54" t="str">
        <x:v>Bì</x:v>
      </x:c>
      <x:c r="I10" s="54" t="str">
        <x:v>Thịt</x:v>
      </x:c>
      <x:c r="J10" s="54" t="n">
        <x:v>1000</x:v>
      </x:c>
      <x:c r="K10" s="54" t="str">
        <x:v>g</x:v>
      </x:c>
      <x:c r="L10" s="55" t="n">
        <x:f>IFERROR(INDEX('Tổng'!$L$7:$L$113,MATCH(G10,'Tổng'!$A$7:$A$113,0)),0)</x:f>
        <x:v>60</x:v>
      </x:c>
      <x:c r="M10" s="55" t="n">
        <x:f>J10*L10</x:f>
        <x:v>60000</x:v>
      </x:c>
      <x:c r="N10" s="55" t="n">
        <x:f>SUMIF($A$7:$A$108,A10,$M$7:$M$108)</x:f>
        <x:v>65196.54948</x:v>
      </x:c>
      <x:c r="O10" s="55" t="n">
        <x:f>IF(E10&gt;0,N10/E10,0)</x:f>
        <x:v>65196.54948</x:v>
      </x:c>
      <x:c r="P10" s="53" t="str"/>
      <x:c r="Q10" s="53" t="str"/>
      <x:c r="R10" s="53" t="str">
        <x:v>6f94d7b7-2783-4517-9b23-ac6bdc12daec</x:v>
      </x:c>
      <x:c r="S10" s="56" t="str">
        <x:v>05aa0582-f44d-4f0e-acc1-f1a9d3d05536</x:v>
      </x:c>
    </x:row>
    <x:row r="11">
      <x:c r="A11" s="52" t="str">
        <x:v>Bịch Gia Vị</x:v>
      </x:c>
      <x:c r="B11" s="53" t="str">
        <x:v>Có</x:v>
      </x:c>
      <x:c r="C11" s="53" t="str">
        <x:v>GV20</x:v>
      </x:c>
      <x:c r="D11" s="53" t="str">
        <x:v>Bịch gia vị</x:v>
      </x:c>
      <x:c r="E11" s="54" t="n">
        <x:v>1</x:v>
      </x:c>
      <x:c r="F11" s="54" t="str">
        <x:v>goi</x:v>
      </x:c>
      <x:c r="G11" s="54" t="str">
        <x:v>GV17</x:v>
      </x:c>
      <x:c r="H11" s="54" t="str">
        <x:v>Hạt nêm Meizan</x:v>
      </x:c>
      <x:c r="I11" s="54" t="str">
        <x:v>Gia vị</x:v>
      </x:c>
      <x:c r="J11" s="54" t="n">
        <x:v>95</x:v>
      </x:c>
      <x:c r="K11" s="54" t="str">
        <x:v>g</x:v>
      </x:c>
      <x:c r="L11" s="55" t="n">
        <x:f>IFERROR(INDEX('Tổng'!$L$7:$L$113,MATCH(G11,'Tổng'!$A$7:$A$113,0)),0)</x:f>
        <x:v>40.42488951592553</x:v>
      </x:c>
      <x:c r="M11" s="55" t="n">
        <x:f>J11*L11</x:f>
        <x:v>3840.3645040129254</x:v>
      </x:c>
      <x:c r="N11" s="55" t="n">
        <x:f>SUMIF($A$7:$A$108,A11,$M$7:$M$108)</x:f>
        <x:v>6421.374312402462</x:v>
      </x:c>
      <x:c r="O11" s="55" t="n">
        <x:f>IF(E11&gt;0,N11/E11,0)</x:f>
        <x:v>6421.374312402462</x:v>
      </x:c>
      <x:c r="P11" s="53" t="str">
        <x:v>2026-05-30 04:09:16</x:v>
      </x:c>
      <x:c r="Q11" s="53" t="str"/>
      <x:c r="R11" s="53" t="str">
        <x:v>c8d766d6-c1d4-42ad-a9a2-57d2f38e81c3</x:v>
      </x:c>
      <x:c r="S11" s="56" t="str">
        <x:v>3dd6a1a7-87da-4234-8832-4951b912b415</x:v>
      </x:c>
    </x:row>
    <x:row r="12">
      <x:c r="A12" s="52" t="str">
        <x:v>Bịch Gia Vị</x:v>
      </x:c>
      <x:c r="B12" s="53" t="str">
        <x:v>Có</x:v>
      </x:c>
      <x:c r="C12" s="53" t="str">
        <x:v>GV20</x:v>
      </x:c>
      <x:c r="D12" s="53" t="str">
        <x:v>Bịch gia vị</x:v>
      </x:c>
      <x:c r="E12" s="54" t="n">
        <x:v>1</x:v>
      </x:c>
      <x:c r="F12" s="54" t="str">
        <x:v>goi</x:v>
      </x:c>
      <x:c r="G12" s="54" t="str">
        <x:v>GV11</x:v>
      </x:c>
      <x:c r="H12" s="54" t="str">
        <x:v>Bột ngọt Ajinomoto</x:v>
      </x:c>
      <x:c r="I12" s="54" t="str">
        <x:v>Gia vị</x:v>
      </x:c>
      <x:c r="J12" s="54" t="n">
        <x:v>35</x:v>
      </x:c>
      <x:c r="K12" s="54" t="str">
        <x:v>g</x:v>
      </x:c>
      <x:c r="L12" s="55" t="n">
        <x:f>IFERROR(INDEX('Tổng'!$L$7:$L$113,MATCH(G12,'Tổng'!$A$7:$A$113,0)),0)</x:f>
        <x:v>52.07613738255819</x:v>
      </x:c>
      <x:c r="M12" s="55" t="n">
        <x:f>J12*L12</x:f>
        <x:v>1822.6648083895366</x:v>
      </x:c>
      <x:c r="N12" s="55" t="n">
        <x:f>SUMIF($A$7:$A$108,A12,$M$7:$M$108)</x:f>
        <x:v>6421.374312402462</x:v>
      </x:c>
      <x:c r="O12" s="55" t="n">
        <x:f>IF(E12&gt;0,N12/E12,0)</x:f>
        <x:v>6421.374312402462</x:v>
      </x:c>
      <x:c r="P12" s="53" t="str">
        <x:v>2026-05-30 04:09:16</x:v>
      </x:c>
      <x:c r="Q12" s="53" t="str"/>
      <x:c r="R12" s="53" t="str">
        <x:v>c8d766d6-c1d4-42ad-a9a2-57d2f38e81c3</x:v>
      </x:c>
      <x:c r="S12" s="56" t="str">
        <x:v>c073b531-f388-4767-a932-60b9f5cdd04f</x:v>
      </x:c>
    </x:row>
    <x:row r="13">
      <x:c r="A13" s="52" t="str">
        <x:v>Bịch Gia Vị</x:v>
      </x:c>
      <x:c r="B13" s="53" t="str">
        <x:v>Có</x:v>
      </x:c>
      <x:c r="C13" s="53" t="str">
        <x:v>GV20</x:v>
      </x:c>
      <x:c r="D13" s="53" t="str">
        <x:v>Bịch gia vị</x:v>
      </x:c>
      <x:c r="E13" s="54" t="n">
        <x:v>1</x:v>
      </x:c>
      <x:c r="F13" s="54" t="str">
        <x:v>goi</x:v>
      </x:c>
      <x:c r="G13" s="54" t="str">
        <x:v>GV04</x:v>
      </x:c>
      <x:c r="H13" s="54" t="str">
        <x:v>Đường cát vàng Mỹ Tho</x:v>
      </x:c>
      <x:c r="I13" s="54" t="str">
        <x:v>Gia vị</x:v>
      </x:c>
      <x:c r="J13" s="54" t="n">
        <x:v>35</x:v>
      </x:c>
      <x:c r="K13" s="54" t="str">
        <x:v>g</x:v>
      </x:c>
      <x:c r="L13" s="55" t="n">
        <x:f>IFERROR(INDEX('Tổng'!$L$7:$L$113,MATCH(G13,'Tổng'!$A$7:$A$113,0)),0)</x:f>
        <x:v>21.667</x:v>
      </x:c>
      <x:c r="M13" s="55" t="n">
        <x:f>J13*L13</x:f>
        <x:v>758.345</x:v>
      </x:c>
      <x:c r="N13" s="55" t="n">
        <x:f>SUMIF($A$7:$A$108,A13,$M$7:$M$108)</x:f>
        <x:v>6421.374312402462</x:v>
      </x:c>
      <x:c r="O13" s="55" t="n">
        <x:f>IF(E13&gt;0,N13/E13,0)</x:f>
        <x:v>6421.374312402462</x:v>
      </x:c>
      <x:c r="P13" s="53" t="str">
        <x:v>2026-05-30 04:09:16</x:v>
      </x:c>
      <x:c r="Q13" s="53" t="str"/>
      <x:c r="R13" s="53" t="str">
        <x:v>c8d766d6-c1d4-42ad-a9a2-57d2f38e81c3</x:v>
      </x:c>
      <x:c r="S13" s="56" t="str">
        <x:v>df7a19b8-12ab-4f20-9aca-4d68e94a57be</x:v>
      </x:c>
    </x:row>
    <x:row r="14">
      <x:c r="A14" s="52" t="str">
        <x:v>Chả ngọt</x:v>
      </x:c>
      <x:c r="B14" s="53" t="str">
        <x:v>Có</x:v>
      </x:c>
      <x:c r="C14" s="53" t="str">
        <x:v>T013</x:v>
      </x:c>
      <x:c r="D14" s="53" t="str">
        <x:v>Chả-thành phẩm</x:v>
      </x:c>
      <x:c r="E14" s="54" t="n">
        <x:v>1</x:v>
      </x:c>
      <x:c r="F14" s="54" t="str">
        <x:v>khay</x:v>
      </x:c>
      <x:c r="G14" s="54" t="str">
        <x:v>GV17</x:v>
      </x:c>
      <x:c r="H14" s="54" t="str">
        <x:v>Hạt nêm Meizan</x:v>
      </x:c>
      <x:c r="I14" s="54" t="str">
        <x:v>Gia vị</x:v>
      </x:c>
      <x:c r="J14" s="54" t="n">
        <x:v>30</x:v>
      </x:c>
      <x:c r="K14" s="54" t="str">
        <x:v>g</x:v>
      </x:c>
      <x:c r="L14" s="55" t="n">
        <x:f>IFERROR(INDEX('Tổng'!$L$7:$L$113,MATCH(G14,'Tổng'!$A$7:$A$113,0)),0)</x:f>
        <x:v>40.42488951592553</x:v>
      </x:c>
      <x:c r="M14" s="55" t="n">
        <x:f>J14*L14</x:f>
        <x:v>1212.7466854777658</x:v>
      </x:c>
      <x:c r="N14" s="55" t="n">
        <x:f>SUMIF($A$7:$A$108,A14,$M$7:$M$108)</x:f>
        <x:v>162091.90587813524</x:v>
      </x:c>
      <x:c r="O14" s="55" t="n">
        <x:f>IF(E14&gt;0,N14/E14,0)</x:f>
        <x:v>162091.90587813524</x:v>
      </x:c>
      <x:c r="P14" s="53" t="str">
        <x:v>2026-06-16 01:49:12</x:v>
      </x:c>
      <x:c r="Q14" s="53" t="str"/>
      <x:c r="R14" s="53" t="str">
        <x:v>daf73dff-27d1-4564-9db2-6be61117af7e</x:v>
      </x:c>
      <x:c r="S14" s="56" t="str">
        <x:v>3dd6a1a7-87da-4234-8832-4951b912b415</x:v>
      </x:c>
    </x:row>
    <x:row r="15">
      <x:c r="A15" s="52" t="str">
        <x:v>Chả ngọt</x:v>
      </x:c>
      <x:c r="B15" s="53" t="str">
        <x:v>Có</x:v>
      </x:c>
      <x:c r="C15" s="53" t="str">
        <x:v>T013</x:v>
      </x:c>
      <x:c r="D15" s="53" t="str">
        <x:v>Chả-thành phẩm</x:v>
      </x:c>
      <x:c r="E15" s="54" t="n">
        <x:v>1</x:v>
      </x:c>
      <x:c r="F15" s="54" t="str">
        <x:v>khay</x:v>
      </x:c>
      <x:c r="G15" s="54" t="str">
        <x:v>GV11</x:v>
      </x:c>
      <x:c r="H15" s="54" t="str">
        <x:v>Bột ngọt Ajinomoto</x:v>
      </x:c>
      <x:c r="I15" s="54" t="str">
        <x:v>Gia vị</x:v>
      </x:c>
      <x:c r="J15" s="54" t="n">
        <x:v>10</x:v>
      </x:c>
      <x:c r="K15" s="54" t="str">
        <x:v>g</x:v>
      </x:c>
      <x:c r="L15" s="55" t="n">
        <x:f>IFERROR(INDEX('Tổng'!$L$7:$L$113,MATCH(G15,'Tổng'!$A$7:$A$113,0)),0)</x:f>
        <x:v>52.07613738255819</x:v>
      </x:c>
      <x:c r="M15" s="55" t="n">
        <x:f>J15*L15</x:f>
        <x:v>520.7613738255818</x:v>
      </x:c>
      <x:c r="N15" s="55" t="n">
        <x:f>SUMIF($A$7:$A$108,A15,$M$7:$M$108)</x:f>
        <x:v>162091.90587813524</x:v>
      </x:c>
      <x:c r="O15" s="55" t="n">
        <x:f>IF(E15&gt;0,N15/E15,0)</x:f>
        <x:v>162091.90587813524</x:v>
      </x:c>
      <x:c r="P15" s="53" t="str">
        <x:v>2026-06-16 01:49:12</x:v>
      </x:c>
      <x:c r="Q15" s="53" t="str"/>
      <x:c r="R15" s="53" t="str">
        <x:v>daf73dff-27d1-4564-9db2-6be61117af7e</x:v>
      </x:c>
      <x:c r="S15" s="56" t="str">
        <x:v>c073b531-f388-4767-a932-60b9f5cdd04f</x:v>
      </x:c>
    </x:row>
    <x:row r="16">
      <x:c r="A16" s="52" t="str">
        <x:v>Chả ngọt</x:v>
      </x:c>
      <x:c r="B16" s="53" t="str">
        <x:v>Có</x:v>
      </x:c>
      <x:c r="C16" s="53" t="str">
        <x:v>T013</x:v>
      </x:c>
      <x:c r="D16" s="53" t="str">
        <x:v>Chả-thành phẩm</x:v>
      </x:c>
      <x:c r="E16" s="54" t="n">
        <x:v>1</x:v>
      </x:c>
      <x:c r="F16" s="54" t="str">
        <x:v>khay</x:v>
      </x:c>
      <x:c r="G16" s="54" t="str">
        <x:v>GV04</x:v>
      </x:c>
      <x:c r="H16" s="54" t="str">
        <x:v>Đường cát vàng Mỹ Tho</x:v>
      </x:c>
      <x:c r="I16" s="54" t="str">
        <x:v>Gia vị</x:v>
      </x:c>
      <x:c r="J16" s="54" t="n">
        <x:v>72</x:v>
      </x:c>
      <x:c r="K16" s="54" t="str">
        <x:v>g</x:v>
      </x:c>
      <x:c r="L16" s="55" t="n">
        <x:f>IFERROR(INDEX('Tổng'!$L$7:$L$113,MATCH(G16,'Tổng'!$A$7:$A$113,0)),0)</x:f>
        <x:v>21.667</x:v>
      </x:c>
      <x:c r="M16" s="55" t="n">
        <x:f>J16*L16</x:f>
        <x:v>1560.0240000000001</x:v>
      </x:c>
      <x:c r="N16" s="55" t="n">
        <x:f>SUMIF($A$7:$A$108,A16,$M$7:$M$108)</x:f>
        <x:v>162091.90587813524</x:v>
      </x:c>
      <x:c r="O16" s="55" t="n">
        <x:f>IF(E16&gt;0,N16/E16,0)</x:f>
        <x:v>162091.90587813524</x:v>
      </x:c>
      <x:c r="P16" s="53" t="str">
        <x:v>2026-06-16 01:49:12</x:v>
      </x:c>
      <x:c r="Q16" s="53" t="str"/>
      <x:c r="R16" s="53" t="str">
        <x:v>daf73dff-27d1-4564-9db2-6be61117af7e</x:v>
      </x:c>
      <x:c r="S16" s="56" t="str">
        <x:v>df7a19b8-12ab-4f20-9aca-4d68e94a57be</x:v>
      </x:c>
    </x:row>
    <x:row r="17">
      <x:c r="A17" s="52" t="str">
        <x:v>Chả ngọt</x:v>
      </x:c>
      <x:c r="B17" s="53" t="str">
        <x:v>Có</x:v>
      </x:c>
      <x:c r="C17" s="53" t="str">
        <x:v>T013</x:v>
      </x:c>
      <x:c r="D17" s="53" t="str">
        <x:v>Chả-thành phẩm</x:v>
      </x:c>
      <x:c r="E17" s="54" t="n">
        <x:v>1</x:v>
      </x:c>
      <x:c r="F17" s="54" t="str">
        <x:v>khay</x:v>
      </x:c>
      <x:c r="G17" s="54" t="str">
        <x:v>NM50</x:v>
      </x:c>
      <x:c r="H17" s="54" t="str">
        <x:v>Nước mắm Hạnh Phúc 50</x:v>
      </x:c>
      <x:c r="I17" s="54" t="str">
        <x:v>Gia vị</x:v>
      </x:c>
      <x:c r="J17" s="54" t="n">
        <x:v>20</x:v>
      </x:c>
      <x:c r="K17" s="54" t="str">
        <x:v>ml</x:v>
      </x:c>
      <x:c r="L17" s="55" t="n">
        <x:f>IFERROR(INDEX('Tổng'!$L$7:$L$113,MATCH(G17,'Tổng'!$A$7:$A$113,0)),0)</x:f>
        <x:v>234.03799999999998</x:v>
      </x:c>
      <x:c r="M17" s="55" t="n">
        <x:f>J17*L17</x:f>
        <x:v>4680.759999999999</x:v>
      </x:c>
      <x:c r="N17" s="55" t="n">
        <x:f>SUMIF($A$7:$A$108,A17,$M$7:$M$108)</x:f>
        <x:v>162091.90587813524</x:v>
      </x:c>
      <x:c r="O17" s="55" t="n">
        <x:f>IF(E17&gt;0,N17/E17,0)</x:f>
        <x:v>162091.90587813524</x:v>
      </x:c>
      <x:c r="P17" s="53" t="str">
        <x:v>2026-06-16 01:49:12</x:v>
      </x:c>
      <x:c r="Q17" s="53" t="str"/>
      <x:c r="R17" s="53" t="str">
        <x:v>daf73dff-27d1-4564-9db2-6be61117af7e</x:v>
      </x:c>
      <x:c r="S17" s="56" t="str">
        <x:v>d2923357-be91-4b31-b6e2-0969ce591ce4</x:v>
      </x:c>
    </x:row>
    <x:row r="18">
      <x:c r="A18" s="52" t="str">
        <x:v>Chả ngọt</x:v>
      </x:c>
      <x:c r="B18" s="53" t="str">
        <x:v>Có</x:v>
      </x:c>
      <x:c r="C18" s="53" t="str">
        <x:v>T013</x:v>
      </x:c>
      <x:c r="D18" s="53" t="str">
        <x:v>Chả-thành phẩm</x:v>
      </x:c>
      <x:c r="E18" s="54" t="n">
        <x:v>1</x:v>
      </x:c>
      <x:c r="F18" s="54" t="str">
        <x:v>khay</x:v>
      </x:c>
      <x:c r="G18" s="54" t="str">
        <x:v>T004</x:v>
      </x:c>
      <x:c r="H18" s="54" t="str">
        <x:v>Thịt xay tươi</x:v>
      </x:c>
      <x:c r="I18" s="54" t="str">
        <x:v>Thịt</x:v>
      </x:c>
      <x:c r="J18" s="54" t="n">
        <x:v>500</x:v>
      </x:c>
      <x:c r="K18" s="54" t="str">
        <x:v>g</x:v>
      </x:c>
      <x:c r="L18" s="55" t="n">
        <x:f>IFERROR(INDEX('Tổng'!$L$7:$L$113,MATCH(G18,'Tổng'!$A$7:$A$113,0)),0)</x:f>
        <x:v>115</x:v>
      </x:c>
      <x:c r="M18" s="55" t="n">
        <x:f>J18*L18</x:f>
        <x:v>57500</x:v>
      </x:c>
      <x:c r="N18" s="55" t="n">
        <x:f>SUMIF($A$7:$A$108,A18,$M$7:$M$108)</x:f>
        <x:v>162091.90587813524</x:v>
      </x:c>
      <x:c r="O18" s="55" t="n">
        <x:f>IF(E18&gt;0,N18/E18,0)</x:f>
        <x:v>162091.90587813524</x:v>
      </x:c>
      <x:c r="P18" s="53" t="str">
        <x:v>2026-06-16 01:49:12</x:v>
      </x:c>
      <x:c r="Q18" s="53" t="str"/>
      <x:c r="R18" s="53" t="str">
        <x:v>daf73dff-27d1-4564-9db2-6be61117af7e</x:v>
      </x:c>
      <x:c r="S18" s="56" t="str">
        <x:v>9cafbfcc-1b94-4452-b099-8d9523d4ed71</x:v>
      </x:c>
    </x:row>
    <x:row r="19">
      <x:c r="A19" s="52" t="str">
        <x:v>Chả ngọt</x:v>
      </x:c>
      <x:c r="B19" s="53" t="str">
        <x:v>Có</x:v>
      </x:c>
      <x:c r="C19" s="53" t="str">
        <x:v>T013</x:v>
      </x:c>
      <x:c r="D19" s="53" t="str">
        <x:v>Chả-thành phẩm</x:v>
      </x:c>
      <x:c r="E19" s="54" t="n">
        <x:v>1</x:v>
      </x:c>
      <x:c r="F19" s="54" t="str">
        <x:v>khay</x:v>
      </x:c>
      <x:c r="G19" s="54" t="str">
        <x:v>NL001</x:v>
      </x:c>
      <x:c r="H19" s="54" t="str">
        <x:v>Bún tàu</x:v>
      </x:c>
      <x:c r="I19" s="54" t="str">
        <x:v>Nguyên liệu</x:v>
      </x:c>
      <x:c r="J19" s="54" t="n">
        <x:v>50</x:v>
      </x:c>
      <x:c r="K19" s="54" t="str">
        <x:v>g</x:v>
      </x:c>
      <x:c r="L19" s="55" t="n">
        <x:f>IFERROR(INDEX('Tổng'!$L$7:$L$113,MATCH(G19,'Tổng'!$A$7:$A$113,0)),0)</x:f>
        <x:v>1025.5555555555557</x:v>
      </x:c>
      <x:c r="M19" s="55" t="n">
        <x:f>J19*L19</x:f>
        <x:v>51277.77777777778</x:v>
      </x:c>
      <x:c r="N19" s="55" t="n">
        <x:f>SUMIF($A$7:$A$108,A19,$M$7:$M$108)</x:f>
        <x:v>162091.90587813524</x:v>
      </x:c>
      <x:c r="O19" s="55" t="n">
        <x:f>IF(E19&gt;0,N19/E19,0)</x:f>
        <x:v>162091.90587813524</x:v>
      </x:c>
      <x:c r="P19" s="53" t="str">
        <x:v>2026-06-16 01:49:12</x:v>
      </x:c>
      <x:c r="Q19" s="53" t="str"/>
      <x:c r="R19" s="53" t="str">
        <x:v>daf73dff-27d1-4564-9db2-6be61117af7e</x:v>
      </x:c>
      <x:c r="S19" s="56" t="str">
        <x:v>7f2fddcf-62c2-4346-9852-916d75dd42df</x:v>
      </x:c>
    </x:row>
    <x:row r="20">
      <x:c r="A20" s="52" t="str">
        <x:v>Chả ngọt</x:v>
      </x:c>
      <x:c r="B20" s="53" t="str">
        <x:v>Có</x:v>
      </x:c>
      <x:c r="C20" s="53" t="str">
        <x:v>T013</x:v>
      </x:c>
      <x:c r="D20" s="53" t="str">
        <x:v>Chả-thành phẩm</x:v>
      </x:c>
      <x:c r="E20" s="54" t="n">
        <x:v>1</x:v>
      </x:c>
      <x:c r="F20" s="54" t="str">
        <x:v>khay</x:v>
      </x:c>
      <x:c r="G20" s="54" t="str">
        <x:v>NL002</x:v>
      </x:c>
      <x:c r="H20" s="54" t="str">
        <x:v>Nấm mèo</x:v>
      </x:c>
      <x:c r="I20" s="54" t="str">
        <x:v>Nguyên liệu</x:v>
      </x:c>
      <x:c r="J20" s="54" t="n">
        <x:v>30</x:v>
      </x:c>
      <x:c r="K20" s="54" t="str">
        <x:v>g</x:v>
      </x:c>
      <x:c r="L20" s="55" t="n">
        <x:f>IFERROR(INDEX('Tổng'!$L$7:$L$113,MATCH(G20,'Tổng'!$A$7:$A$113,0)),0)</x:f>
        <x:v>138.68088467614535</x:v>
      </x:c>
      <x:c r="M20" s="55" t="n">
        <x:f>J20*L20</x:f>
        <x:v>4160.42654028436</x:v>
      </x:c>
      <x:c r="N20" s="55" t="n">
        <x:f>SUMIF($A$7:$A$108,A20,$M$7:$M$108)</x:f>
        <x:v>162091.90587813524</x:v>
      </x:c>
      <x:c r="O20" s="55" t="n">
        <x:f>IF(E20&gt;0,N20/E20,0)</x:f>
        <x:v>162091.90587813524</x:v>
      </x:c>
      <x:c r="P20" s="53" t="str">
        <x:v>2026-06-16 01:49:12</x:v>
      </x:c>
      <x:c r="Q20" s="53" t="str"/>
      <x:c r="R20" s="53" t="str">
        <x:v>daf73dff-27d1-4564-9db2-6be61117af7e</x:v>
      </x:c>
      <x:c r="S20" s="56" t="str">
        <x:v>f4857b9f-e901-46e5-a5cf-73ee7288961e</x:v>
      </x:c>
    </x:row>
    <x:row r="21">
      <x:c r="A21" s="52" t="str">
        <x:v>Chả ngọt</x:v>
      </x:c>
      <x:c r="B21" s="53" t="str">
        <x:v>Có</x:v>
      </x:c>
      <x:c r="C21" s="53" t="str">
        <x:v>T013</x:v>
      </x:c>
      <x:c r="D21" s="53" t="str">
        <x:v>Chả-thành phẩm</x:v>
      </x:c>
      <x:c r="E21" s="54" t="n">
        <x:v>1</x:v>
      </x:c>
      <x:c r="F21" s="54" t="str">
        <x:v>khay</x:v>
      </x:c>
      <x:c r="G21" s="54" t="str">
        <x:v>T010</x:v>
      </x:c>
      <x:c r="H21" s="54" t="str">
        <x:v>Trứng</x:v>
      </x:c>
      <x:c r="I21" s="54" t="str">
        <x:v>Nguyên liệu</x:v>
      </x:c>
      <x:c r="J21" s="54" t="n">
        <x:v>17</x:v>
      </x:c>
      <x:c r="K21" s="54" t="str">
        <x:v>trai</x:v>
      </x:c>
      <x:c r="L21" s="55" t="n">
        <x:f>IFERROR(INDEX('Tổng'!$L$7:$L$113,MATCH(G21,'Tổng'!$A$7:$A$113,0)),0)</x:f>
        <x:v>2009.0829118099846</x:v>
      </x:c>
      <x:c r="M21" s="55" t="n">
        <x:f>J21*L21</x:f>
        <x:v>34154.40950076974</x:v>
      </x:c>
      <x:c r="N21" s="55" t="n">
        <x:f>SUMIF($A$7:$A$108,A21,$M$7:$M$108)</x:f>
        <x:v>162091.90587813524</x:v>
      </x:c>
      <x:c r="O21" s="55" t="n">
        <x:f>IF(E21&gt;0,N21/E21,0)</x:f>
        <x:v>162091.90587813524</x:v>
      </x:c>
      <x:c r="P21" s="53" t="str">
        <x:v>2026-06-16 01:49:12</x:v>
      </x:c>
      <x:c r="Q21" s="53" t="str"/>
      <x:c r="R21" s="53" t="str">
        <x:v>daf73dff-27d1-4564-9db2-6be61117af7e</x:v>
      </x:c>
      <x:c r="S21" s="56" t="str">
        <x:v>d8e6ebb0-021c-4128-971b-a431acc4216a</x:v>
      </x:c>
    </x:row>
    <x:row r="22">
      <x:c r="A22" s="52" t="str">
        <x:v>Chả ngọt</x:v>
      </x:c>
      <x:c r="B22" s="53" t="str">
        <x:v>Có</x:v>
      </x:c>
      <x:c r="C22" s="53" t="str">
        <x:v>T013</x:v>
      </x:c>
      <x:c r="D22" s="53" t="str">
        <x:v>Chả-thành phẩm</x:v>
      </x:c>
      <x:c r="E22" s="54" t="n">
        <x:v>1</x:v>
      </x:c>
      <x:c r="F22" s="54" t="str">
        <x:v>khay</x:v>
      </x:c>
      <x:c r="G22" s="54" t="str">
        <x:v>R002</x:v>
      </x:c>
      <x:c r="H22" s="54" t="str">
        <x:v>Hành tây</x:v>
      </x:c>
      <x:c r="I22" s="54" t="str">
        <x:v>Rau, củ</x:v>
      </x:c>
      <x:c r="J22" s="54" t="n">
        <x:v>200</x:v>
      </x:c>
      <x:c r="K22" s="54" t="str">
        <x:v>g</x:v>
      </x:c>
      <x:c r="L22" s="55" t="n">
        <x:f>IFERROR(INDEX('Tổng'!$L$7:$L$113,MATCH(G22,'Tổng'!$A$7:$A$113,0)),0)</x:f>
        <x:v>14</x:v>
      </x:c>
      <x:c r="M22" s="55" t="n">
        <x:f>J22*L22</x:f>
        <x:v>2800</x:v>
      </x:c>
      <x:c r="N22" s="55" t="n">
        <x:f>SUMIF($A$7:$A$108,A22,$M$7:$M$108)</x:f>
        <x:v>162091.90587813524</x:v>
      </x:c>
      <x:c r="O22" s="55" t="n">
        <x:f>IF(E22&gt;0,N22/E22,0)</x:f>
        <x:v>162091.90587813524</x:v>
      </x:c>
      <x:c r="P22" s="53" t="str">
        <x:v>2026-06-16 01:49:12</x:v>
      </x:c>
      <x:c r="Q22" s="53" t="str"/>
      <x:c r="R22" s="53" t="str">
        <x:v>daf73dff-27d1-4564-9db2-6be61117af7e</x:v>
      </x:c>
      <x:c r="S22" s="56" t="str">
        <x:v>b8718fa6-fc9c-479b-ab95-4b0b17a93837</x:v>
      </x:c>
    </x:row>
    <x:row r="23">
      <x:c r="A23" s="52" t="str">
        <x:v>Chả ngọt</x:v>
      </x:c>
      <x:c r="B23" s="53" t="str">
        <x:v>Có</x:v>
      </x:c>
      <x:c r="C23" s="53" t="str">
        <x:v>T013</x:v>
      </x:c>
      <x:c r="D23" s="53" t="str">
        <x:v>Chả-thành phẩm</x:v>
      </x:c>
      <x:c r="E23" s="54" t="n">
        <x:v>1</x:v>
      </x:c>
      <x:c r="F23" s="54" t="str">
        <x:v>khay</x:v>
      </x:c>
      <x:c r="G23" s="54" t="str">
        <x:v>R001</x:v>
      </x:c>
      <x:c r="H23" s="54" t="str">
        <x:v>Hành tím</x:v>
      </x:c>
      <x:c r="I23" s="54" t="str">
        <x:v>Rau, củ</x:v>
      </x:c>
      <x:c r="J23" s="54" t="n">
        <x:v>50</x:v>
      </x:c>
      <x:c r="K23" s="54" t="str">
        <x:v>g</x:v>
      </x:c>
      <x:c r="L23" s="55" t="n">
        <x:f>IFERROR(INDEX('Tổng'!$L$7:$L$113,MATCH(G23,'Tổng'!$A$7:$A$113,0)),0)</x:f>
        <x:v>17</x:v>
      </x:c>
      <x:c r="M23" s="55" t="n">
        <x:f>J23*L23</x:f>
        <x:v>850</x:v>
      </x:c>
      <x:c r="N23" s="55" t="n">
        <x:f>SUMIF($A$7:$A$108,A23,$M$7:$M$108)</x:f>
        <x:v>162091.90587813524</x:v>
      </x:c>
      <x:c r="O23" s="55" t="n">
        <x:f>IF(E23&gt;0,N23/E23,0)</x:f>
        <x:v>162091.90587813524</x:v>
      </x:c>
      <x:c r="P23" s="53" t="str">
        <x:v>2026-06-16 01:49:12</x:v>
      </x:c>
      <x:c r="Q23" s="53" t="str"/>
      <x:c r="R23" s="53" t="str">
        <x:v>daf73dff-27d1-4564-9db2-6be61117af7e</x:v>
      </x:c>
      <x:c r="S23" s="56" t="str">
        <x:v>a498f0e3-24dd-444e-a624-b9ca3902d79a</x:v>
      </x:c>
    </x:row>
    <x:row r="24">
      <x:c r="A24" s="52" t="str">
        <x:v>Chả ngọt</x:v>
      </x:c>
      <x:c r="B24" s="53" t="str">
        <x:v>Có</x:v>
      </x:c>
      <x:c r="C24" s="53" t="str">
        <x:v>T013</x:v>
      </x:c>
      <x:c r="D24" s="53" t="str">
        <x:v>Chả-thành phẩm</x:v>
      </x:c>
      <x:c r="E24" s="54" t="n">
        <x:v>1</x:v>
      </x:c>
      <x:c r="F24" s="54" t="str">
        <x:v>khay</x:v>
      </x:c>
      <x:c r="G24" s="54" t="str">
        <x:v>D001</x:v>
      </x:c>
      <x:c r="H24" s="54" t="str">
        <x:v>Dầu ăn Tường An</x:v>
      </x:c>
      <x:c r="I24" s="54" t="str">
        <x:v>Dầu</x:v>
      </x:c>
      <x:c r="J24" s="54" t="n">
        <x:v>50</x:v>
      </x:c>
      <x:c r="K24" s="54" t="str">
        <x:v>ml</x:v>
      </x:c>
      <x:c r="L24" s="55" t="n">
        <x:f>IFERROR(INDEX('Tổng'!$L$7:$L$113,MATCH(G24,'Tổng'!$A$7:$A$113,0)),0)</x:f>
        <x:v>46.5</x:v>
      </x:c>
      <x:c r="M24" s="55" t="n">
        <x:f>J24*L24</x:f>
        <x:v>2325</x:v>
      </x:c>
      <x:c r="N24" s="55" t="n">
        <x:f>SUMIF($A$7:$A$108,A24,$M$7:$M$108)</x:f>
        <x:v>162091.90587813524</x:v>
      </x:c>
      <x:c r="O24" s="55" t="n">
        <x:f>IF(E24&gt;0,N24/E24,0)</x:f>
        <x:v>162091.90587813524</x:v>
      </x:c>
      <x:c r="P24" s="53" t="str">
        <x:v>2026-06-16 01:49:12</x:v>
      </x:c>
      <x:c r="Q24" s="53" t="str"/>
      <x:c r="R24" s="53" t="str">
        <x:v>daf73dff-27d1-4564-9db2-6be61117af7e</x:v>
      </x:c>
      <x:c r="S24" s="56" t="str">
        <x:v>8d1bb57f-a1d0-45b4-9053-99a54bafe9fb</x:v>
      </x:c>
    </x:row>
    <x:row r="25">
      <x:c r="A25" s="52" t="str">
        <x:v>Chả ngọt</x:v>
      </x:c>
      <x:c r="B25" s="53" t="str">
        <x:v>Có</x:v>
      </x:c>
      <x:c r="C25" s="53" t="str">
        <x:v>T013</x:v>
      </x:c>
      <x:c r="D25" s="53" t="str">
        <x:v>Chả-thành phẩm</x:v>
      </x:c>
      <x:c r="E25" s="54" t="n">
        <x:v>1</x:v>
      </x:c>
      <x:c r="F25" s="54" t="str">
        <x:v>khay</x:v>
      </x:c>
      <x:c r="G25" s="54" t="str">
        <x:v>GV13</x:v>
      </x:c>
      <x:c r="H25" s="54" t="str">
        <x:v>Tiêu</x:v>
      </x:c>
      <x:c r="I25" s="54" t="str">
        <x:v>Gia vị</x:v>
      </x:c>
      <x:c r="J25" s="54" t="n">
        <x:v>5</x:v>
      </x:c>
      <x:c r="K25" s="54" t="str">
        <x:v>g</x:v>
      </x:c>
      <x:c r="L25" s="55" t="n">
        <x:f>IFERROR(INDEX('Tổng'!$L$7:$L$113,MATCH(G25,'Tổng'!$A$7:$A$113,0)),0)</x:f>
        <x:v>210</x:v>
      </x:c>
      <x:c r="M25" s="55" t="n">
        <x:f>J25*L25</x:f>
        <x:v>1050</x:v>
      </x:c>
      <x:c r="N25" s="55" t="n">
        <x:f>SUMIF($A$7:$A$108,A25,$M$7:$M$108)</x:f>
        <x:v>162091.90587813524</x:v>
      </x:c>
      <x:c r="O25" s="55" t="n">
        <x:f>IF(E25&gt;0,N25/E25,0)</x:f>
        <x:v>162091.90587813524</x:v>
      </x:c>
      <x:c r="P25" s="53" t="str">
        <x:v>2026-06-16 01:49:12</x:v>
      </x:c>
      <x:c r="Q25" s="53" t="str"/>
      <x:c r="R25" s="53" t="str">
        <x:v>daf73dff-27d1-4564-9db2-6be61117af7e</x:v>
      </x:c>
      <x:c r="S25" s="56" t="str">
        <x:v>821f120f-1ea0-4da2-a383-fdd3e5e50493</x:v>
      </x:c>
    </x:row>
    <x:row r="26">
      <x:c r="A26" s="52" t="str">
        <x:v>Đồ chua-thành phẩm</x:v>
      </x:c>
      <x:c r="B26" s="53" t="str">
        <x:v>Có</x:v>
      </x:c>
      <x:c r="C26" s="53" t="str">
        <x:v>R017</x:v>
      </x:c>
      <x:c r="D26" s="53" t="str">
        <x:v>Đồ chua-thành phẩm</x:v>
      </x:c>
      <x:c r="E26" s="54" t="n">
        <x:v>1</x:v>
      </x:c>
      <x:c r="F26" s="54" t="str">
        <x:v>kg</x:v>
      </x:c>
      <x:c r="G26" s="54" t="str">
        <x:v>R011</x:v>
      </x:c>
      <x:c r="H26" s="54" t="str">
        <x:v>Củ cải</x:v>
      </x:c>
      <x:c r="I26" s="54" t="str">
        <x:v>Rau, củ</x:v>
      </x:c>
      <x:c r="J26" s="54" t="n">
        <x:v>0.7</x:v>
      </x:c>
      <x:c r="K26" s="54" t="str">
        <x:v>kg</x:v>
      </x:c>
      <x:c r="L26" s="55" t="n">
        <x:f>IFERROR(INDEX('Tổng'!$L$7:$L$113,MATCH(G26,'Tổng'!$A$7:$A$113,0)),0)</x:f>
        <x:v>8000</x:v>
      </x:c>
      <x:c r="M26" s="55" t="n">
        <x:f>J26*L26</x:f>
        <x:v>5600</x:v>
      </x:c>
      <x:c r="N26" s="55" t="n">
        <x:f>SUMIF($A$7:$A$108,A26,$M$7:$M$108)</x:f>
        <x:v>13200.920549999999</x:v>
      </x:c>
      <x:c r="O26" s="55" t="n">
        <x:f>IF(E26&gt;0,N26/E26,0)</x:f>
        <x:v>13200.920549999999</x:v>
      </x:c>
      <x:c r="P26" s="53" t="str">
        <x:v>2026-05-25 02:49:22</x:v>
      </x:c>
      <x:c r="Q26" s="53" t="str"/>
      <x:c r="R26" s="53" t="str">
        <x:v>88e63712-f589-48f5-a9de-7af06eb22b0e</x:v>
      </x:c>
      <x:c r="S26" s="56" t="str">
        <x:v>a2a087d2-5bdc-48fe-8ae1-70e71a209f24</x:v>
      </x:c>
    </x:row>
    <x:row r="27">
      <x:c r="A27" s="52" t="str">
        <x:v>Đồ chua-thành phẩm</x:v>
      </x:c>
      <x:c r="B27" s="53" t="str">
        <x:v>Có</x:v>
      </x:c>
      <x:c r="C27" s="53" t="str">
        <x:v>R017</x:v>
      </x:c>
      <x:c r="D27" s="53" t="str">
        <x:v>Đồ chua-thành phẩm</x:v>
      </x:c>
      <x:c r="E27" s="54" t="n">
        <x:v>1</x:v>
      </x:c>
      <x:c r="F27" s="54" t="str">
        <x:v>kg</x:v>
      </x:c>
      <x:c r="G27" s="54" t="str">
        <x:v>R010</x:v>
      </x:c>
      <x:c r="H27" s="54" t="str">
        <x:v>Cà rốt</x:v>
      </x:c>
      <x:c r="I27" s="54" t="str">
        <x:v>Rau, củ</x:v>
      </x:c>
      <x:c r="J27" s="54" t="n">
        <x:v>0.3</x:v>
      </x:c>
      <x:c r="K27" s="54" t="str">
        <x:v>kg</x:v>
      </x:c>
      <x:c r="L27" s="55" t="n">
        <x:f>IFERROR(INDEX('Tổng'!$L$7:$L$113,MATCH(G27,'Tổng'!$A$7:$A$113,0)),0)</x:f>
        <x:v>12000</x:v>
      </x:c>
      <x:c r="M27" s="55" t="n">
        <x:f>J27*L27</x:f>
        <x:v>3600</x:v>
      </x:c>
      <x:c r="N27" s="55" t="n">
        <x:f>SUMIF($A$7:$A$108,A27,$M$7:$M$108)</x:f>
        <x:v>13200.920549999999</x:v>
      </x:c>
      <x:c r="O27" s="55" t="n">
        <x:f>IF(E27&gt;0,N27/E27,0)</x:f>
        <x:v>13200.920549999999</x:v>
      </x:c>
      <x:c r="P27" s="53" t="str">
        <x:v>2026-05-25 02:49:22</x:v>
      </x:c>
      <x:c r="Q27" s="53" t="str"/>
      <x:c r="R27" s="53" t="str">
        <x:v>88e63712-f589-48f5-a9de-7af06eb22b0e</x:v>
      </x:c>
      <x:c r="S27" s="56" t="str">
        <x:v>6beb405d-ab2b-46fb-8742-4709b4090195</x:v>
      </x:c>
    </x:row>
    <x:row r="28">
      <x:c r="A28" s="52" t="str">
        <x:v>Đồ chua-thành phẩm</x:v>
      </x:c>
      <x:c r="B28" s="53" t="str">
        <x:v>Có</x:v>
      </x:c>
      <x:c r="C28" s="53" t="str">
        <x:v>R017</x:v>
      </x:c>
      <x:c r="D28" s="53" t="str">
        <x:v>Đồ chua-thành phẩm</x:v>
      </x:c>
      <x:c r="E28" s="54" t="n">
        <x:v>1</x:v>
      </x:c>
      <x:c r="F28" s="54" t="str">
        <x:v>kg</x:v>
      </x:c>
      <x:c r="G28" s="54" t="str">
        <x:v>GV04</x:v>
      </x:c>
      <x:c r="H28" s="54" t="str">
        <x:v>Đường cát vàng Mỹ Tho</x:v>
      </x:c>
      <x:c r="I28" s="54" t="str">
        <x:v>Gia vị</x:v>
      </x:c>
      <x:c r="J28" s="54" t="n">
        <x:v>130</x:v>
      </x:c>
      <x:c r="K28" s="54" t="str">
        <x:v>g</x:v>
      </x:c>
      <x:c r="L28" s="55" t="n">
        <x:f>IFERROR(INDEX('Tổng'!$L$7:$L$113,MATCH(G28,'Tổng'!$A$7:$A$113,0)),0)</x:f>
        <x:v>21.667</x:v>
      </x:c>
      <x:c r="M28" s="55" t="n">
        <x:f>J28*L28</x:f>
        <x:v>2816.71</x:v>
      </x:c>
      <x:c r="N28" s="55" t="n">
        <x:f>SUMIF($A$7:$A$108,A28,$M$7:$M$108)</x:f>
        <x:v>13200.920549999999</x:v>
      </x:c>
      <x:c r="O28" s="55" t="n">
        <x:f>IF(E28&gt;0,N28/E28,0)</x:f>
        <x:v>13200.920549999999</x:v>
      </x:c>
      <x:c r="P28" s="53" t="str">
        <x:v>2026-05-25 02:49:22</x:v>
      </x:c>
      <x:c r="Q28" s="53" t="str"/>
      <x:c r="R28" s="53" t="str">
        <x:v>88e63712-f589-48f5-a9de-7af06eb22b0e</x:v>
      </x:c>
      <x:c r="S28" s="56" t="str">
        <x:v>df7a19b8-12ab-4f20-9aca-4d68e94a57be</x:v>
      </x:c>
    </x:row>
    <x:row r="29">
      <x:c r="A29" s="52" t="str">
        <x:v>Đồ chua-thành phẩm</x:v>
      </x:c>
      <x:c r="B29" s="53" t="str">
        <x:v>Có</x:v>
      </x:c>
      <x:c r="C29" s="53" t="str">
        <x:v>R017</x:v>
      </x:c>
      <x:c r="D29" s="53" t="str">
        <x:v>Đồ chua-thành phẩm</x:v>
      </x:c>
      <x:c r="E29" s="54" t="n">
        <x:v>1</x:v>
      </x:c>
      <x:c r="F29" s="54" t="str">
        <x:v>kg</x:v>
      </x:c>
      <x:c r="G29" s="54" t="str">
        <x:v>GV16</x:v>
      </x:c>
      <x:c r="H29" s="54" t="str">
        <x:v>Giấm ăn Thăng Long</x:v>
      </x:c>
      <x:c r="I29" s="54" t="str">
        <x:v>Gia vị</x:v>
      </x:c>
      <x:c r="J29" s="54" t="n">
        <x:v>150</x:v>
      </x:c>
      <x:c r="K29" s="54" t="str">
        <x:v>ml</x:v>
      </x:c>
      <x:c r="L29" s="55" t="n">
        <x:f>IFERROR(INDEX('Tổng'!$L$7:$L$113,MATCH(G29,'Tổng'!$A$7:$A$113,0)),0)</x:f>
        <x:v>7.894737</x:v>
      </x:c>
      <x:c r="M29" s="55" t="n">
        <x:f>J29*L29</x:f>
        <x:v>1184.21055</x:v>
      </x:c>
      <x:c r="N29" s="55" t="n">
        <x:f>SUMIF($A$7:$A$108,A29,$M$7:$M$108)</x:f>
        <x:v>13200.920549999999</x:v>
      </x:c>
      <x:c r="O29" s="55" t="n">
        <x:f>IF(E29&gt;0,N29/E29,0)</x:f>
        <x:v>13200.920549999999</x:v>
      </x:c>
      <x:c r="P29" s="53" t="str">
        <x:v>2026-05-25 02:49:22</x:v>
      </x:c>
      <x:c r="Q29" s="53" t="str"/>
      <x:c r="R29" s="53" t="str">
        <x:v>88e63712-f589-48f5-a9de-7af06eb22b0e</x:v>
      </x:c>
      <x:c r="S29" s="56" t="str">
        <x:v>ad578aab-6be7-4de8-9c61-40655c483045</x:v>
      </x:c>
    </x:row>
    <x:row r="30">
      <x:c r="A30" s="52" t="str">
        <x:v>Nước đường-thành phẩm</x:v>
      </x:c>
      <x:c r="B30" s="53" t="str">
        <x:v>Có</x:v>
      </x:c>
      <x:c r="C30" s="53" t="str">
        <x:v>N006</x:v>
      </x:c>
      <x:c r="D30" s="53" t="str">
        <x:v>Nước đường-thành phẩm</x:v>
      </x:c>
      <x:c r="E30" s="54" t="n">
        <x:v>1</x:v>
      </x:c>
      <x:c r="F30" s="54" t="str">
        <x:v>hu</x:v>
      </x:c>
      <x:c r="G30" s="54" t="str">
        <x:v>GV04</x:v>
      </x:c>
      <x:c r="H30" s="54" t="str">
        <x:v>Đường cát vàng Mỹ Tho</x:v>
      </x:c>
      <x:c r="I30" s="54" t="str">
        <x:v>Gia vị</x:v>
      </x:c>
      <x:c r="J30" s="54" t="n">
        <x:v>2500</x:v>
      </x:c>
      <x:c r="K30" s="54" t="str">
        <x:v>g</x:v>
      </x:c>
      <x:c r="L30" s="55" t="n">
        <x:f>IFERROR(INDEX('Tổng'!$L$7:$L$113,MATCH(G30,'Tổng'!$A$7:$A$113,0)),0)</x:f>
        <x:v>21.667</x:v>
      </x:c>
      <x:c r="M30" s="55" t="n">
        <x:f>J30*L30</x:f>
        <x:v>54167.50000000001</x:v>
      </x:c>
      <x:c r="N30" s="55" t="n">
        <x:f>SUMIF($A$7:$A$108,A30,$M$7:$M$108)</x:f>
        <x:v>54167.50000000001</x:v>
      </x:c>
      <x:c r="O30" s="55" t="n">
        <x:f>IF(E30&gt;0,N30/E30,0)</x:f>
        <x:v>54167.50000000001</x:v>
      </x:c>
      <x:c r="P30" s="53" t="str">
        <x:v>2026-05-15 06:24:28</x:v>
      </x:c>
      <x:c r="Q30" s="53" t="str"/>
      <x:c r="R30" s="53" t="str">
        <x:v>98caa3e0-8b8e-4178-90db-99d3671fad5c</x:v>
      </x:c>
      <x:c r="S30" s="56" t="str">
        <x:v>df7a19b8-12ab-4f20-9aca-4d68e94a57be</x:v>
      </x:c>
    </x:row>
    <x:row r="31">
      <x:c r="A31" s="52" t="str">
        <x:v>Nước mắm SG</x:v>
      </x:c>
      <x:c r="B31" s="53" t="str">
        <x:v>Có</x:v>
      </x:c>
      <x:c r="C31" s="53" t="str">
        <x:v>NM01</x:v>
      </x:c>
      <x:c r="D31" s="53" t="str">
        <x:v>Nước mắm-thành phẩm</x:v>
      </x:c>
      <x:c r="E31" s="54" t="n">
        <x:v>1</x:v>
      </x:c>
      <x:c r="F31" s="54" t="str">
        <x:v>ml</x:v>
      </x:c>
      <x:c r="G31" s="54" t="str">
        <x:v>GV04</x:v>
      </x:c>
      <x:c r="H31" s="54" t="str">
        <x:v>Đường cát vàng Mỹ Tho</x:v>
      </x:c>
      <x:c r="I31" s="54" t="str">
        <x:v>Gia vị</x:v>
      </x:c>
      <x:c r="J31" s="54" t="n">
        <x:v>2400</x:v>
      </x:c>
      <x:c r="K31" s="54" t="str">
        <x:v>g</x:v>
      </x:c>
      <x:c r="L31" s="55" t="n">
        <x:f>IFERROR(INDEX('Tổng'!$L$7:$L$113,MATCH(G31,'Tổng'!$A$7:$A$113,0)),0)</x:f>
        <x:v>21.667</x:v>
      </x:c>
      <x:c r="M31" s="55" t="n">
        <x:f>J31*L31</x:f>
        <x:v>52000.8</x:v>
      </x:c>
      <x:c r="N31" s="55" t="n">
        <x:f>SUMIF($A$7:$A$108,A31,$M$7:$M$108)</x:f>
        <x:v>670687.456485907</x:v>
      </x:c>
      <x:c r="O31" s="55" t="n">
        <x:f>IF(E31&gt;0,N31/E31,0)</x:f>
        <x:v>670687.456485907</x:v>
      </x:c>
      <x:c r="P31" s="53" t="str"/>
      <x:c r="Q31" s="53" t="str"/>
      <x:c r="R31" s="53" t="str">
        <x:v>9c46cb10-0645-4585-a52a-d4cd8e86e3b3</x:v>
      </x:c>
      <x:c r="S31" s="56" t="str">
        <x:v>df7a19b8-12ab-4f20-9aca-4d68e94a57be</x:v>
      </x:c>
    </x:row>
    <x:row r="32">
      <x:c r="A32" s="52" t="str">
        <x:v>Nước mắm SG</x:v>
      </x:c>
      <x:c r="B32" s="53" t="str">
        <x:v>Có</x:v>
      </x:c>
      <x:c r="C32" s="53" t="str">
        <x:v>NM01</x:v>
      </x:c>
      <x:c r="D32" s="53" t="str">
        <x:v>Nước mắm-thành phẩm</x:v>
      </x:c>
      <x:c r="E32" s="54" t="n">
        <x:v>1</x:v>
      </x:c>
      <x:c r="F32" s="54" t="str">
        <x:v>ml</x:v>
      </x:c>
      <x:c r="G32" s="54" t="str">
        <x:v>GV11</x:v>
      </x:c>
      <x:c r="H32" s="54" t="str">
        <x:v>Bột ngọt Ajinomoto</x:v>
      </x:c>
      <x:c r="I32" s="54" t="str">
        <x:v>Gia vị</x:v>
      </x:c>
      <x:c r="J32" s="54" t="n">
        <x:v>120</x:v>
      </x:c>
      <x:c r="K32" s="54" t="str">
        <x:v>g</x:v>
      </x:c>
      <x:c r="L32" s="55" t="n">
        <x:f>IFERROR(INDEX('Tổng'!$L$7:$L$113,MATCH(G32,'Tổng'!$A$7:$A$113,0)),0)</x:f>
        <x:v>52.07613738255819</x:v>
      </x:c>
      <x:c r="M32" s="55" t="n">
        <x:f>J32*L32</x:f>
        <x:v>6249.136485906983</x:v>
      </x:c>
      <x:c r="N32" s="55" t="n">
        <x:f>SUMIF($A$7:$A$108,A32,$M$7:$M$108)</x:f>
        <x:v>670687.456485907</x:v>
      </x:c>
      <x:c r="O32" s="55" t="n">
        <x:f>IF(E32&gt;0,N32/E32,0)</x:f>
        <x:v>670687.456485907</x:v>
      </x:c>
      <x:c r="P32" s="53" t="str"/>
      <x:c r="Q32" s="53" t="str"/>
      <x:c r="R32" s="53" t="str">
        <x:v>9c46cb10-0645-4585-a52a-d4cd8e86e3b3</x:v>
      </x:c>
      <x:c r="S32" s="56" t="str">
        <x:v>c073b531-f388-4767-a932-60b9f5cdd04f</x:v>
      </x:c>
    </x:row>
    <x:row r="33">
      <x:c r="A33" s="52" t="str">
        <x:v>Nước mắm SG</x:v>
      </x:c>
      <x:c r="B33" s="53" t="str">
        <x:v>Có</x:v>
      </x:c>
      <x:c r="C33" s="53" t="str">
        <x:v>NM01</x:v>
      </x:c>
      <x:c r="D33" s="53" t="str">
        <x:v>Nước mắm-thành phẩm</x:v>
      </x:c>
      <x:c r="E33" s="54" t="n">
        <x:v>1</x:v>
      </x:c>
      <x:c r="F33" s="54" t="str">
        <x:v>ml</x:v>
      </x:c>
      <x:c r="G33" s="54" t="str">
        <x:v>GV03</x:v>
      </x:c>
      <x:c r="H33" s="54" t="str">
        <x:v>Mạch nha Phát Đạt</x:v>
      </x:c>
      <x:c r="I33" s="54" t="str">
        <x:v>Nguyên liệu</x:v>
      </x:c>
      <x:c r="J33" s="54" t="n">
        <x:v>3000</x:v>
      </x:c>
      <x:c r="K33" s="54" t="str">
        <x:v>g</x:v>
      </x:c>
      <x:c r="L33" s="55" t="n">
        <x:f>IFERROR(INDEX('Tổng'!$L$7:$L$113,MATCH(G33,'Tổng'!$A$7:$A$113,0)),0)</x:f>
        <x:v>45</x:v>
      </x:c>
      <x:c r="M33" s="55" t="n">
        <x:f>J33*L33</x:f>
        <x:v>135000</x:v>
      </x:c>
      <x:c r="N33" s="55" t="n">
        <x:f>SUMIF($A$7:$A$108,A33,$M$7:$M$108)</x:f>
        <x:v>670687.456485907</x:v>
      </x:c>
      <x:c r="O33" s="55" t="n">
        <x:f>IF(E33&gt;0,N33/E33,0)</x:f>
        <x:v>670687.456485907</x:v>
      </x:c>
      <x:c r="P33" s="53" t="str"/>
      <x:c r="Q33" s="53" t="str"/>
      <x:c r="R33" s="53" t="str">
        <x:v>9c46cb10-0645-4585-a52a-d4cd8e86e3b3</x:v>
      </x:c>
      <x:c r="S33" s="56" t="str">
        <x:v>fc469191-8f8a-4620-94ca-c27899420d2c</x:v>
      </x:c>
    </x:row>
    <x:row r="34">
      <x:c r="A34" s="52" t="str">
        <x:v>Nước mắm SG</x:v>
      </x:c>
      <x:c r="B34" s="53" t="str">
        <x:v>Có</x:v>
      </x:c>
      <x:c r="C34" s="53" t="str">
        <x:v>NM01</x:v>
      </x:c>
      <x:c r="D34" s="53" t="str">
        <x:v>Nước mắm-thành phẩm</x:v>
      </x:c>
      <x:c r="E34" s="54" t="n">
        <x:v>1</x:v>
      </x:c>
      <x:c r="F34" s="54" t="str">
        <x:v>ml</x:v>
      </x:c>
      <x:c r="G34" s="54" t="str">
        <x:v>NM50</x:v>
      </x:c>
      <x:c r="H34" s="54" t="str">
        <x:v>Nước mắm Hạnh Phúc 50</x:v>
      </x:c>
      <x:c r="I34" s="54" t="str">
        <x:v>Gia vị</x:v>
      </x:c>
      <x:c r="J34" s="54" t="n">
        <x:v>2040</x:v>
      </x:c>
      <x:c r="K34" s="54" t="str">
        <x:v>ml</x:v>
      </x:c>
      <x:c r="L34" s="55" t="n">
        <x:f>IFERROR(INDEX('Tổng'!$L$7:$L$113,MATCH(G34,'Tổng'!$A$7:$A$113,0)),0)</x:f>
        <x:v>234.03799999999998</x:v>
      </x:c>
      <x:c r="M34" s="55" t="n">
        <x:f>J34*L34</x:f>
        <x:v>477437.51999999996</x:v>
      </x:c>
      <x:c r="N34" s="55" t="n">
        <x:f>SUMIF($A$7:$A$108,A34,$M$7:$M$108)</x:f>
        <x:v>670687.456485907</x:v>
      </x:c>
      <x:c r="O34" s="55" t="n">
        <x:f>IF(E34&gt;0,N34/E34,0)</x:f>
        <x:v>670687.456485907</x:v>
      </x:c>
      <x:c r="P34" s="53" t="str"/>
      <x:c r="Q34" s="53" t="str"/>
      <x:c r="R34" s="53" t="str">
        <x:v>9c46cb10-0645-4585-a52a-d4cd8e86e3b3</x:v>
      </x:c>
      <x:c r="S34" s="56" t="str">
        <x:v>d2923357-be91-4b31-b6e2-0969ce591ce4</x:v>
      </x:c>
    </x:row>
    <x:row r="35">
      <x:c r="A35" s="52" t="str">
        <x:v>Nước mắm SG</x:v>
      </x:c>
      <x:c r="B35" s="53" t="str">
        <x:v>Có</x:v>
      </x:c>
      <x:c r="C35" s="53" t="str">
        <x:v>NM01</x:v>
      </x:c>
      <x:c r="D35" s="53" t="str">
        <x:v>Nước mắm-thành phẩm</x:v>
      </x:c>
      <x:c r="E35" s="54" t="n">
        <x:v>1</x:v>
      </x:c>
      <x:c r="F35" s="54" t="str">
        <x:v>ml</x:v>
      </x:c>
      <x:c r="G35" s="54" t="str">
        <x:v>R007</x:v>
      </x:c>
      <x:c r="H35" s="54" t="str">
        <x:v>Trái thơm</x:v>
      </x:c>
      <x:c r="I35" s="54" t="str">
        <x:v>Rau, củ</x:v>
      </x:c>
      <x:c r="J35" s="54" t="n">
        <x:v>1</x:v>
      </x:c>
      <x:c r="K35" s="54" t="str">
        <x:v>trai</x:v>
      </x:c>
      <x:c r="L35" s="55" t="n">
        <x:f>IFERROR(INDEX('Tổng'!$L$7:$L$113,MATCH(G35,'Tổng'!$A$7:$A$113,0)),0)</x:f>
        <x:v>0</x:v>
      </x:c>
      <x:c r="M35" s="55" t="n">
        <x:f>J35*L35</x:f>
        <x:v>0</x:v>
      </x:c>
      <x:c r="N35" s="55" t="n">
        <x:f>SUMIF($A$7:$A$108,A35,$M$7:$M$108)</x:f>
        <x:v>670687.456485907</x:v>
      </x:c>
      <x:c r="O35" s="55" t="n">
        <x:f>IF(E35&gt;0,N35/E35,0)</x:f>
        <x:v>670687.456485907</x:v>
      </x:c>
      <x:c r="P35" s="53" t="str"/>
      <x:c r="Q35" s="53" t="str"/>
      <x:c r="R35" s="53" t="str">
        <x:v>9c46cb10-0645-4585-a52a-d4cd8e86e3b3</x:v>
      </x:c>
      <x:c r="S35" s="56" t="str">
        <x:v>92f31ea2-524f-4d3d-8c53-ffe0dd2ab79a</x:v>
      </x:c>
    </x:row>
    <x:row r="36">
      <x:c r="A36" s="52" t="str">
        <x:v>Nước mắm-Phước Hải</x:v>
      </x:c>
      <x:c r="B36" s="53" t="str">
        <x:v>Có</x:v>
      </x:c>
      <x:c r="C36" s="53" t="str">
        <x:v>NM02</x:v>
      </x:c>
      <x:c r="D36" s="53" t="str">
        <x:v>Nước mắm-Phước Hải</x:v>
      </x:c>
      <x:c r="E36" s="54" t="n">
        <x:v>10</x:v>
      </x:c>
      <x:c r="F36" s="54" t="str">
        <x:v>lit</x:v>
      </x:c>
      <x:c r="G36" s="54" t="str">
        <x:v>GV11</x:v>
      </x:c>
      <x:c r="H36" s="54" t="str">
        <x:v>Bột ngọt Ajinomoto</x:v>
      </x:c>
      <x:c r="I36" s="54" t="str">
        <x:v>Gia vị</x:v>
      </x:c>
      <x:c r="J36" s="54" t="n">
        <x:v>120</x:v>
      </x:c>
      <x:c r="K36" s="54" t="str">
        <x:v>g</x:v>
      </x:c>
      <x:c r="L36" s="55" t="n">
        <x:f>IFERROR(INDEX('Tổng'!$L$7:$L$113,MATCH(G36,'Tổng'!$A$7:$A$113,0)),0)</x:f>
        <x:v>52.07613738255819</x:v>
      </x:c>
      <x:c r="M36" s="55" t="n">
        <x:f>J36*L36</x:f>
        <x:v>6249.136485906983</x:v>
      </x:c>
      <x:c r="N36" s="55" t="n">
        <x:f>SUMIF($A$7:$A$108,A36,$M$7:$M$108)</x:f>
        <x:v>668603.2964859069</x:v>
      </x:c>
      <x:c r="O36" s="55" t="n">
        <x:f>IF(E36&gt;0,N36/E36,0)</x:f>
        <x:v>66860.32964859069</x:v>
      </x:c>
      <x:c r="P36" s="53" t="str">
        <x:v>2026-05-28 07:46:33</x:v>
      </x:c>
      <x:c r="Q36" s="53" t="str"/>
      <x:c r="R36" s="53" t="str">
        <x:v>2e812f72-743f-45b6-9415-99e675204c4d</x:v>
      </x:c>
      <x:c r="S36" s="56" t="str">
        <x:v>c073b531-f388-4767-a932-60b9f5cdd04f</x:v>
      </x:c>
    </x:row>
    <x:row r="37">
      <x:c r="A37" s="52" t="str">
        <x:v>Nước mắm-Phước Hải</x:v>
      </x:c>
      <x:c r="B37" s="53" t="str">
        <x:v>Có</x:v>
      </x:c>
      <x:c r="C37" s="53" t="str">
        <x:v>NM02</x:v>
      </x:c>
      <x:c r="D37" s="53" t="str">
        <x:v>Nước mắm-Phước Hải</x:v>
      </x:c>
      <x:c r="E37" s="54" t="n">
        <x:v>10</x:v>
      </x:c>
      <x:c r="F37" s="54" t="str">
        <x:v>lit</x:v>
      </x:c>
      <x:c r="G37" s="54" t="str">
        <x:v>GV04</x:v>
      </x:c>
      <x:c r="H37" s="54" t="str">
        <x:v>Đường cát vàng Mỹ Tho</x:v>
      </x:c>
      <x:c r="I37" s="54" t="str">
        <x:v>Gia vị</x:v>
      </x:c>
      <x:c r="J37" s="54" t="n">
        <x:v>3600</x:v>
      </x:c>
      <x:c r="K37" s="54" t="str">
        <x:v>g</x:v>
      </x:c>
      <x:c r="L37" s="55" t="n">
        <x:f>IFERROR(INDEX('Tổng'!$L$7:$L$113,MATCH(G37,'Tổng'!$A$7:$A$113,0)),0)</x:f>
        <x:v>21.667</x:v>
      </x:c>
      <x:c r="M37" s="55" t="n">
        <x:f>J37*L37</x:f>
        <x:v>78001.20000000001</x:v>
      </x:c>
      <x:c r="N37" s="55" t="n">
        <x:f>SUMIF($A$7:$A$108,A37,$M$7:$M$108)</x:f>
        <x:v>668603.2964859069</x:v>
      </x:c>
      <x:c r="O37" s="55" t="n">
        <x:f>IF(E37&gt;0,N37/E37,0)</x:f>
        <x:v>66860.32964859069</x:v>
      </x:c>
      <x:c r="P37" s="53" t="str">
        <x:v>2026-05-28 07:46:33</x:v>
      </x:c>
      <x:c r="Q37" s="53" t="str"/>
      <x:c r="R37" s="53" t="str">
        <x:v>2e812f72-743f-45b6-9415-99e675204c4d</x:v>
      </x:c>
      <x:c r="S37" s="56" t="str">
        <x:v>df7a19b8-12ab-4f20-9aca-4d68e94a57be</x:v>
      </x:c>
    </x:row>
    <x:row r="38">
      <x:c r="A38" s="52" t="str">
        <x:v>Nước mắm-Phước Hải</x:v>
      </x:c>
      <x:c r="B38" s="53" t="str">
        <x:v>Có</x:v>
      </x:c>
      <x:c r="C38" s="53" t="str">
        <x:v>NM02</x:v>
      </x:c>
      <x:c r="D38" s="53" t="str">
        <x:v>Nước mắm-Phước Hải</x:v>
      </x:c>
      <x:c r="E38" s="54" t="n">
        <x:v>10</x:v>
      </x:c>
      <x:c r="F38" s="54" t="str">
        <x:v>lit</x:v>
      </x:c>
      <x:c r="G38" s="54" t="str">
        <x:v>GV03</x:v>
      </x:c>
      <x:c r="H38" s="54" t="str">
        <x:v>Mạch nha Phát Đạt</x:v>
      </x:c>
      <x:c r="I38" s="54" t="str">
        <x:v>Nguyên liệu</x:v>
      </x:c>
      <x:c r="J38" s="54" t="n">
        <x:v>3000</x:v>
      </x:c>
      <x:c r="K38" s="54" t="str">
        <x:v>g</x:v>
      </x:c>
      <x:c r="L38" s="55" t="n">
        <x:f>IFERROR(INDEX('Tổng'!$L$7:$L$113,MATCH(G38,'Tổng'!$A$7:$A$113,0)),0)</x:f>
        <x:v>45</x:v>
      </x:c>
      <x:c r="M38" s="55" t="n">
        <x:f>J38*L38</x:f>
        <x:v>135000</x:v>
      </x:c>
      <x:c r="N38" s="55" t="n">
        <x:f>SUMIF($A$7:$A$108,A38,$M$7:$M$108)</x:f>
        <x:v>668603.2964859069</x:v>
      </x:c>
      <x:c r="O38" s="55" t="n">
        <x:f>IF(E38&gt;0,N38/E38,0)</x:f>
        <x:v>66860.32964859069</x:v>
      </x:c>
      <x:c r="P38" s="53" t="str">
        <x:v>2026-05-28 07:46:33</x:v>
      </x:c>
      <x:c r="Q38" s="53" t="str"/>
      <x:c r="R38" s="53" t="str">
        <x:v>2e812f72-743f-45b6-9415-99e675204c4d</x:v>
      </x:c>
      <x:c r="S38" s="56" t="str">
        <x:v>fc469191-8f8a-4620-94ca-c27899420d2c</x:v>
      </x:c>
    </x:row>
    <x:row r="39">
      <x:c r="A39" s="52" t="str">
        <x:v>Nước mắm-Phước Hải</x:v>
      </x:c>
      <x:c r="B39" s="53" t="str">
        <x:v>Có</x:v>
      </x:c>
      <x:c r="C39" s="53" t="str">
        <x:v>NM02</x:v>
      </x:c>
      <x:c r="D39" s="53" t="str">
        <x:v>Nước mắm-Phước Hải</x:v>
      </x:c>
      <x:c r="E39" s="54" t="n">
        <x:v>10</x:v>
      </x:c>
      <x:c r="F39" s="54" t="str">
        <x:v>lit</x:v>
      </x:c>
      <x:c r="G39" s="54" t="str">
        <x:v>NM50</x:v>
      </x:c>
      <x:c r="H39" s="54" t="str">
        <x:v>Nước mắm Hạnh Phúc 50</x:v>
      </x:c>
      <x:c r="I39" s="54" t="str">
        <x:v>Gia vị</x:v>
      </x:c>
      <x:c r="J39" s="54" t="n">
        <x:v>1920</x:v>
      </x:c>
      <x:c r="K39" s="54" t="str">
        <x:v>ml</x:v>
      </x:c>
      <x:c r="L39" s="55" t="n">
        <x:f>IFERROR(INDEX('Tổng'!$L$7:$L$113,MATCH(G39,'Tổng'!$A$7:$A$113,0)),0)</x:f>
        <x:v>234.03799999999998</x:v>
      </x:c>
      <x:c r="M39" s="55" t="n">
        <x:f>J39*L39</x:f>
        <x:v>449352.95999999996</x:v>
      </x:c>
      <x:c r="N39" s="55" t="n">
        <x:f>SUMIF($A$7:$A$108,A39,$M$7:$M$108)</x:f>
        <x:v>668603.2964859069</x:v>
      </x:c>
      <x:c r="O39" s="55" t="n">
        <x:f>IF(E39&gt;0,N39/E39,0)</x:f>
        <x:v>66860.32964859069</x:v>
      </x:c>
      <x:c r="P39" s="53" t="str">
        <x:v>2026-05-28 07:46:33</x:v>
      </x:c>
      <x:c r="Q39" s="53" t="str"/>
      <x:c r="R39" s="53" t="str">
        <x:v>2e812f72-743f-45b6-9415-99e675204c4d</x:v>
      </x:c>
      <x:c r="S39" s="56" t="str">
        <x:v>d2923357-be91-4b31-b6e2-0969ce591ce4</x:v>
      </x:c>
    </x:row>
    <x:row r="40">
      <x:c r="A40" s="52" t="str">
        <x:v>Rau củ thành phẩm</x:v>
      </x:c>
      <x:c r="B40" s="53" t="str">
        <x:v>Có</x:v>
      </x:c>
      <x:c r="C40" s="53" t="str">
        <x:v>R021</x:v>
      </x:c>
      <x:c r="D40" s="53" t="str">
        <x:v>Rau củ - Thành phẩm</x:v>
      </x:c>
      <x:c r="E40" s="54" t="n">
        <x:v>1</x:v>
      </x:c>
      <x:c r="F40" s="54" t="str">
        <x:v>kg</x:v>
      </x:c>
      <x:c r="G40" s="54" t="str">
        <x:v>S001</x:v>
      </x:c>
      <x:c r="H40" s="54" t="str">
        <x:v>Su Hào</x:v>
      </x:c>
      <x:c r="I40" s="54" t="str">
        <x:v>Rau, củ</x:v>
      </x:c>
      <x:c r="J40" s="54" t="n">
        <x:v>1</x:v>
      </x:c>
      <x:c r="K40" s="54" t="str">
        <x:v>kg</x:v>
      </x:c>
      <x:c r="L40" s="55" t="n">
        <x:f>IFERROR(INDEX('Tổng'!$L$7:$L$113,MATCH(G40,'Tổng'!$A$7:$A$113,0)),0)</x:f>
        <x:v>17000</x:v>
      </x:c>
      <x:c r="M40" s="55" t="n">
        <x:f>J40*L40</x:f>
        <x:v>17000</x:v>
      </x:c>
      <x:c r="N40" s="55" t="n">
        <x:f>SUMIF($A$7:$A$108,A40,$M$7:$M$108)</x:f>
        <x:v>37000</x:v>
      </x:c>
      <x:c r="O40" s="55" t="n">
        <x:f>IF(E40&gt;0,N40/E40,0)</x:f>
        <x:v>37000</x:v>
      </x:c>
      <x:c r="P40" s="53" t="str">
        <x:v>2026-05-28 07:56:23</x:v>
      </x:c>
      <x:c r="Q40" s="53" t="str"/>
      <x:c r="R40" s="53" t="str">
        <x:v>019e62ed-45e4-724c-8f4f-c133a1f77f6a</x:v>
      </x:c>
      <x:c r="S40" s="56" t="str">
        <x:v>019e6834-0e37-7aee-bd8c-aaeb76a1146f</x:v>
      </x:c>
    </x:row>
    <x:row r="41">
      <x:c r="A41" s="52" t="str">
        <x:v>Rau củ thành phẩm</x:v>
      </x:c>
      <x:c r="B41" s="53" t="str">
        <x:v>Có</x:v>
      </x:c>
      <x:c r="C41" s="53" t="str">
        <x:v>R021</x:v>
      </x:c>
      <x:c r="D41" s="53" t="str">
        <x:v>Rau củ - Thành phẩm</x:v>
      </x:c>
      <x:c r="E41" s="54" t="n">
        <x:v>1</x:v>
      </x:c>
      <x:c r="F41" s="54" t="str">
        <x:v>kg</x:v>
      </x:c>
      <x:c r="G41" s="54" t="str">
        <x:v>R010</x:v>
      </x:c>
      <x:c r="H41" s="54" t="str">
        <x:v>Cà rốt</x:v>
      </x:c>
      <x:c r="I41" s="54" t="str">
        <x:v>Rau, củ</x:v>
      </x:c>
      <x:c r="J41" s="54" t="n">
        <x:v>1</x:v>
      </x:c>
      <x:c r="K41" s="54" t="str">
        <x:v>kg</x:v>
      </x:c>
      <x:c r="L41" s="55" t="n">
        <x:f>IFERROR(INDEX('Tổng'!$L$7:$L$113,MATCH(G41,'Tổng'!$A$7:$A$113,0)),0)</x:f>
        <x:v>12000</x:v>
      </x:c>
      <x:c r="M41" s="55" t="n">
        <x:f>J41*L41</x:f>
        <x:v>12000</x:v>
      </x:c>
      <x:c r="N41" s="55" t="n">
        <x:f>SUMIF($A$7:$A$108,A41,$M$7:$M$108)</x:f>
        <x:v>37000</x:v>
      </x:c>
      <x:c r="O41" s="55" t="n">
        <x:f>IF(E41&gt;0,N41/E41,0)</x:f>
        <x:v>37000</x:v>
      </x:c>
      <x:c r="P41" s="53" t="str">
        <x:v>2026-05-28 07:56:23</x:v>
      </x:c>
      <x:c r="Q41" s="53" t="str"/>
      <x:c r="R41" s="53" t="str">
        <x:v>019e62ed-45e4-724c-8f4f-c133a1f77f6a</x:v>
      </x:c>
      <x:c r="S41" s="56" t="str">
        <x:v>6beb405d-ab2b-46fb-8742-4709b4090195</x:v>
      </x:c>
    </x:row>
    <x:row r="42">
      <x:c r="A42" s="52" t="str">
        <x:v>Rau củ thành phẩm</x:v>
      </x:c>
      <x:c r="B42" s="53" t="str">
        <x:v>Có</x:v>
      </x:c>
      <x:c r="C42" s="53" t="str">
        <x:v>R021</x:v>
      </x:c>
      <x:c r="D42" s="53" t="str">
        <x:v>Rau củ - Thành phẩm</x:v>
      </x:c>
      <x:c r="E42" s="54" t="n">
        <x:v>1</x:v>
      </x:c>
      <x:c r="F42" s="54" t="str">
        <x:v>kg</x:v>
      </x:c>
      <x:c r="G42" s="54" t="str">
        <x:v>R011</x:v>
      </x:c>
      <x:c r="H42" s="54" t="str">
        <x:v>Củ cải</x:v>
      </x:c>
      <x:c r="I42" s="54" t="str">
        <x:v>Rau, củ</x:v>
      </x:c>
      <x:c r="J42" s="54" t="n">
        <x:v>1</x:v>
      </x:c>
      <x:c r="K42" s="54" t="str">
        <x:v>kg</x:v>
      </x:c>
      <x:c r="L42" s="55" t="n">
        <x:f>IFERROR(INDEX('Tổng'!$L$7:$L$113,MATCH(G42,'Tổng'!$A$7:$A$113,0)),0)</x:f>
        <x:v>8000</x:v>
      </x:c>
      <x:c r="M42" s="55" t="n">
        <x:f>J42*L42</x:f>
        <x:v>8000</x:v>
      </x:c>
      <x:c r="N42" s="55" t="n">
        <x:f>SUMIF($A$7:$A$108,A42,$M$7:$M$108)</x:f>
        <x:v>37000</x:v>
      </x:c>
      <x:c r="O42" s="55" t="n">
        <x:f>IF(E42&gt;0,N42/E42,0)</x:f>
        <x:v>37000</x:v>
      </x:c>
      <x:c r="P42" s="53" t="str">
        <x:v>2026-05-28 07:56:23</x:v>
      </x:c>
      <x:c r="Q42" s="53" t="str"/>
      <x:c r="R42" s="53" t="str">
        <x:v>019e62ed-45e4-724c-8f4f-c133a1f77f6a</x:v>
      </x:c>
      <x:c r="S42" s="56" t="str">
        <x:v>a2a087d2-5bdc-48fe-8ae1-70e71a209f24</x:v>
      </x:c>
    </x:row>
    <x:row r="43">
      <x:c r="A43" s="52" t="str">
        <x:v>Rau Má - Thành Phẩm</x:v>
      </x:c>
      <x:c r="B43" s="53" t="str">
        <x:v>Có</x:v>
      </x:c>
      <x:c r="C43" s="53" t="str">
        <x:v>T100</x:v>
      </x:c>
      <x:c r="D43" s="53" t="str">
        <x:v>Nước Rau Má - Thành Phẩm</x:v>
      </x:c>
      <x:c r="E43" s="54" t="n">
        <x:v>5</x:v>
      </x:c>
      <x:c r="F43" s="54" t="str">
        <x:v>lit</x:v>
      </x:c>
      <x:c r="G43" s="54" t="str">
        <x:v>T111</x:v>
      </x:c>
      <x:c r="H43" s="54" t="str">
        <x:v>Rau Má</x:v>
      </x:c>
      <x:c r="I43" s="54" t="str">
        <x:v>Rau, củ</x:v>
      </x:c>
      <x:c r="J43" s="54" t="n">
        <x:v>1</x:v>
      </x:c>
      <x:c r="K43" s="54" t="str">
        <x:v>kg</x:v>
      </x:c>
      <x:c r="L43" s="55" t="n">
        <x:f>IFERROR(INDEX('Tổng'!$L$7:$L$113,MATCH(G43,'Tổng'!$A$7:$A$113,0)),0)</x:f>
        <x:v>20000</x:v>
      </x:c>
      <x:c r="M43" s="55" t="n">
        <x:f>J43*L43</x:f>
        <x:v>20000</x:v>
      </x:c>
      <x:c r="N43" s="55" t="n">
        <x:f>SUMIF($A$7:$A$108,A43,$M$7:$M$108)</x:f>
        <x:v>20000</x:v>
      </x:c>
      <x:c r="O43" s="55" t="n">
        <x:f>IF(E43&gt;0,N43/E43,0)</x:f>
        <x:v>4000</x:v>
      </x:c>
      <x:c r="P43" s="53" t="str">
        <x:v>2026-06-25 02:45:34</x:v>
      </x:c>
      <x:c r="Q43" s="53" t="str"/>
      <x:c r="R43" s="53" t="str">
        <x:v>019e53cd-62b5-7896-acb5-92505d05d13c</x:v>
      </x:c>
      <x:c r="S43" s="56" t="str">
        <x:v>019e53ae-31e9-7211-8572-61b32e919f2e</x:v>
      </x:c>
    </x:row>
    <x:row r="44">
      <x:c r="A44" s="52" t="str">
        <x:v>Sườn 1 gang-thành phẩm</x:v>
      </x:c>
      <x:c r="B44" s="53" t="str">
        <x:v>Có</x:v>
      </x:c>
      <x:c r="C44" s="53" t="str">
        <x:v>T014</x:v>
      </x:c>
      <x:c r="D44" s="53" t="str">
        <x:v>Sườn 1 gang-thành phẩm</x:v>
      </x:c>
      <x:c r="E44" s="54" t="n">
        <x:v>1</x:v>
      </x:c>
      <x:c r="F44" s="54" t="str">
        <x:v>kg</x:v>
      </x:c>
      <x:c r="G44" s="54" t="str">
        <x:v>D002</x:v>
      </x:c>
      <x:c r="H44" s="54" t="str">
        <x:v>Dầu điều VN Food</x:v>
      </x:c>
      <x:c r="I44" s="54" t="str">
        <x:v>Dầu</x:v>
      </x:c>
      <x:c r="J44" s="54" t="n">
        <x:v>20</x:v>
      </x:c>
      <x:c r="K44" s="54" t="str">
        <x:v>ml</x:v>
      </x:c>
      <x:c r="L44" s="55" t="n">
        <x:f>IFERROR(INDEX('Tổng'!$L$7:$L$113,MATCH(G44,'Tổng'!$A$7:$A$113,0)),0)</x:f>
        <x:v>78.332</x:v>
      </x:c>
      <x:c r="M44" s="55" t="n">
        <x:f>J44*L44</x:f>
        <x:v>1566.6399999999999</x:v>
      </x:c>
      <x:c r="N44" s="55" t="n">
        <x:f>SUMIF($A$7:$A$108,A44,$M$7:$M$108)</x:f>
        <x:v>159023.41077511077</x:v>
      </x:c>
      <x:c r="O44" s="55" t="n">
        <x:f>IF(E44&gt;0,N44/E44,0)</x:f>
        <x:v>159023.41077511077</x:v>
      </x:c>
      <x:c r="P44" s="53" t="str">
        <x:v>2026-06-25 02:50:51</x:v>
      </x:c>
      <x:c r="Q44" s="53" t="str"/>
      <x:c r="R44" s="53" t="str">
        <x:v>678b6ca1-9463-457b-999d-0236946b9b6f</x:v>
      </x:c>
      <x:c r="S44" s="56" t="str">
        <x:v>2a953742-e1b1-478f-95df-6949ed84bb01</x:v>
      </x:c>
    </x:row>
    <x:row r="45">
      <x:c r="A45" s="52" t="str">
        <x:v>Sườn 1 gang-thành phẩm</x:v>
      </x:c>
      <x:c r="B45" s="53" t="str">
        <x:v>Có</x:v>
      </x:c>
      <x:c r="C45" s="53" t="str">
        <x:v>T014</x:v>
      </x:c>
      <x:c r="D45" s="53" t="str">
        <x:v>Sườn 1 gang-thành phẩm</x:v>
      </x:c>
      <x:c r="E45" s="54" t="n">
        <x:v>1</x:v>
      </x:c>
      <x:c r="F45" s="54" t="str">
        <x:v>kg</x:v>
      </x:c>
      <x:c r="G45" s="54" t="str">
        <x:v>D003</x:v>
      </x:c>
      <x:c r="H45" s="54" t="str">
        <x:v>Dầu mè Meizan</x:v>
      </x:c>
      <x:c r="I45" s="54" t="str">
        <x:v>Dầu</x:v>
      </x:c>
      <x:c r="J45" s="54" t="n">
        <x:v>2</x:v>
      </x:c>
      <x:c r="K45" s="54" t="str">
        <x:v>ml</x:v>
      </x:c>
      <x:c r="L45" s="55" t="n">
        <x:f>IFERROR(INDEX('Tổng'!$L$7:$L$113,MATCH(G45,'Tổng'!$A$7:$A$113,0)),0)</x:f>
        <x:v>190</x:v>
      </x:c>
      <x:c r="M45" s="55" t="n">
        <x:f>J45*L45</x:f>
        <x:v>380</x:v>
      </x:c>
      <x:c r="N45" s="55" t="n">
        <x:f>SUMIF($A$7:$A$108,A45,$M$7:$M$108)</x:f>
        <x:v>159023.41077511077</x:v>
      </x:c>
      <x:c r="O45" s="55" t="n">
        <x:f>IF(E45&gt;0,N45/E45,0)</x:f>
        <x:v>159023.41077511077</x:v>
      </x:c>
      <x:c r="P45" s="53" t="str">
        <x:v>2026-06-25 02:50:51</x:v>
      </x:c>
      <x:c r="Q45" s="53" t="str"/>
      <x:c r="R45" s="53" t="str">
        <x:v>678b6ca1-9463-457b-999d-0236946b9b6f</x:v>
      </x:c>
      <x:c r="S45" s="56" t="str">
        <x:v>9a0373d2-40e2-4b8f-b295-cd63f4d8e37b</x:v>
      </x:c>
    </x:row>
    <x:row r="46">
      <x:c r="A46" s="52" t="str">
        <x:v>Sườn 1 gang-thành phẩm</x:v>
      </x:c>
      <x:c r="B46" s="53" t="str">
        <x:v>Có</x:v>
      </x:c>
      <x:c r="C46" s="53" t="str">
        <x:v>T014</x:v>
      </x:c>
      <x:c r="D46" s="53" t="str">
        <x:v>Sườn 1 gang-thành phẩm</x:v>
      </x:c>
      <x:c r="E46" s="54" t="n">
        <x:v>1</x:v>
      </x:c>
      <x:c r="F46" s="54" t="str">
        <x:v>kg</x:v>
      </x:c>
      <x:c r="G46" s="54" t="str">
        <x:v>T005</x:v>
      </x:c>
      <x:c r="H46" s="54" t="str">
        <x:v>Sườn 1 gang-tươi</x:v>
      </x:c>
      <x:c r="I46" s="54" t="str">
        <x:v>Thịt</x:v>
      </x:c>
      <x:c r="J46" s="54" t="n">
        <x:v>1</x:v>
      </x:c>
      <x:c r="K46" s="54" t="str">
        <x:v>kg</x:v>
      </x:c>
      <x:c r="L46" s="55" t="n">
        <x:f>IFERROR(INDEX('Tổng'!$L$7:$L$113,MATCH(G46,'Tổng'!$A$7:$A$113,0)),0)</x:f>
        <x:v>140000</x:v>
      </x:c>
      <x:c r="M46" s="55" t="n">
        <x:f>J46*L46</x:f>
        <x:v>140000</x:v>
      </x:c>
      <x:c r="N46" s="55" t="n">
        <x:f>SUMIF($A$7:$A$108,A46,$M$7:$M$108)</x:f>
        <x:v>159023.41077511077</x:v>
      </x:c>
      <x:c r="O46" s="55" t="n">
        <x:f>IF(E46&gt;0,N46/E46,0)</x:f>
        <x:v>159023.41077511077</x:v>
      </x:c>
      <x:c r="P46" s="53" t="str">
        <x:v>2026-06-25 02:50:51</x:v>
      </x:c>
      <x:c r="Q46" s="53" t="str"/>
      <x:c r="R46" s="53" t="str">
        <x:v>678b6ca1-9463-457b-999d-0236946b9b6f</x:v>
      </x:c>
      <x:c r="S46" s="56" t="str">
        <x:v>707864c9-8b01-4674-ba7b-a19af0086c18</x:v>
      </x:c>
    </x:row>
    <x:row r="47">
      <x:c r="A47" s="52" t="str">
        <x:v>Sườn 1 gang-thành phẩm</x:v>
      </x:c>
      <x:c r="B47" s="53" t="str">
        <x:v>Có</x:v>
      </x:c>
      <x:c r="C47" s="53" t="str">
        <x:v>T014</x:v>
      </x:c>
      <x:c r="D47" s="53" t="str">
        <x:v>Sườn 1 gang-thành phẩm</x:v>
      </x:c>
      <x:c r="E47" s="54" t="n">
        <x:v>1</x:v>
      </x:c>
      <x:c r="F47" s="54" t="str">
        <x:v>kg</x:v>
      </x:c>
      <x:c r="G47" s="54" t="str">
        <x:v>GV01</x:v>
      </x:c>
      <x:c r="H47" s="54" t="str">
        <x:v>Sữa đặc Tài Lộc</x:v>
      </x:c>
      <x:c r="I47" s="54" t="str">
        <x:v>Nguyên liệu</x:v>
      </x:c>
      <x:c r="J47" s="54" t="n">
        <x:v>40</x:v>
      </x:c>
      <x:c r="K47" s="54" t="str">
        <x:v>g</x:v>
      </x:c>
      <x:c r="L47" s="55" t="n">
        <x:f>IFERROR(INDEX('Tổng'!$L$7:$L$113,MATCH(G47,'Tổng'!$A$7:$A$113,0)),0)</x:f>
        <x:v>35.695483</x:v>
      </x:c>
      <x:c r="M47" s="55" t="n">
        <x:f>J47*L47</x:f>
        <x:v>1427.81932</x:v>
      </x:c>
      <x:c r="N47" s="55" t="n">
        <x:f>SUMIF($A$7:$A$108,A47,$M$7:$M$108)</x:f>
        <x:v>159023.41077511077</x:v>
      </x:c>
      <x:c r="O47" s="55" t="n">
        <x:f>IF(E47&gt;0,N47/E47,0)</x:f>
        <x:v>159023.41077511077</x:v>
      </x:c>
      <x:c r="P47" s="53" t="str">
        <x:v>2026-06-25 02:50:51</x:v>
      </x:c>
      <x:c r="Q47" s="53" t="str"/>
      <x:c r="R47" s="53" t="str">
        <x:v>678b6ca1-9463-457b-999d-0236946b9b6f</x:v>
      </x:c>
      <x:c r="S47" s="56" t="str">
        <x:v>50313214-5f8c-4b92-b13d-d2e1bd2d5410</x:v>
      </x:c>
    </x:row>
    <x:row r="48">
      <x:c r="A48" s="52" t="str">
        <x:v>Sườn 1 gang-thành phẩm</x:v>
      </x:c>
      <x:c r="B48" s="53" t="str">
        <x:v>Có</x:v>
      </x:c>
      <x:c r="C48" s="53" t="str">
        <x:v>T014</x:v>
      </x:c>
      <x:c r="D48" s="53" t="str">
        <x:v>Sườn 1 gang-thành phẩm</x:v>
      </x:c>
      <x:c r="E48" s="54" t="n">
        <x:v>1</x:v>
      </x:c>
      <x:c r="F48" s="54" t="str">
        <x:v>kg</x:v>
      </x:c>
      <x:c r="G48" s="54" t="str">
        <x:v>GV02</x:v>
      </x:c>
      <x:c r="H48" s="54" t="str">
        <x:v>Mật ong Tây Bắc</x:v>
      </x:c>
      <x:c r="I48" s="54" t="str">
        <x:v>Nguyên liệu</x:v>
      </x:c>
      <x:c r="J48" s="54" t="n">
        <x:v>40</x:v>
      </x:c>
      <x:c r="K48" s="54" t="str">
        <x:v>ml</x:v>
      </x:c>
      <x:c r="L48" s="55" t="n">
        <x:f>IFERROR(INDEX('Tổng'!$L$7:$L$113,MATCH(G48,'Tổng'!$A$7:$A$113,0)),0)</x:f>
        <x:v>76.923077</x:v>
      </x:c>
      <x:c r="M48" s="55" t="n">
        <x:f>J48*L48</x:f>
        <x:v>3076.9230800000005</x:v>
      </x:c>
      <x:c r="N48" s="55" t="n">
        <x:f>SUMIF($A$7:$A$108,A48,$M$7:$M$108)</x:f>
        <x:v>159023.41077511077</x:v>
      </x:c>
      <x:c r="O48" s="55" t="n">
        <x:f>IF(E48&gt;0,N48/E48,0)</x:f>
        <x:v>159023.41077511077</x:v>
      </x:c>
      <x:c r="P48" s="53" t="str">
        <x:v>2026-06-25 02:50:51</x:v>
      </x:c>
      <x:c r="Q48" s="53" t="str"/>
      <x:c r="R48" s="53" t="str">
        <x:v>678b6ca1-9463-457b-999d-0236946b9b6f</x:v>
      </x:c>
      <x:c r="S48" s="56" t="str">
        <x:v>530e5d53-cc77-4bdb-8b9d-982185c7b365</x:v>
      </x:c>
    </x:row>
    <x:row r="49">
      <x:c r="A49" s="52" t="str">
        <x:v>Sườn 1 gang-thành phẩm</x:v>
      </x:c>
      <x:c r="B49" s="53" t="str">
        <x:v>Có</x:v>
      </x:c>
      <x:c r="C49" s="53" t="str">
        <x:v>T014</x:v>
      </x:c>
      <x:c r="D49" s="53" t="str">
        <x:v>Sườn 1 gang-thành phẩm</x:v>
      </x:c>
      <x:c r="E49" s="54" t="n">
        <x:v>1</x:v>
      </x:c>
      <x:c r="F49" s="54" t="str">
        <x:v>kg</x:v>
      </x:c>
      <x:c r="G49" s="54" t="str">
        <x:v>GV07</x:v>
      </x:c>
      <x:c r="H49" s="54" t="str">
        <x:v>Tương ớt Cholimex</x:v>
      </x:c>
      <x:c r="I49" s="54" t="str">
        <x:v>Nguyên liệu</x:v>
      </x:c>
      <x:c r="J49" s="54" t="n">
        <x:v>20</x:v>
      </x:c>
      <x:c r="K49" s="54" t="str">
        <x:v>g</x:v>
      </x:c>
      <x:c r="L49" s="55" t="n">
        <x:f>IFERROR(INDEX('Tổng'!$L$7:$L$113,MATCH(G49,'Tổng'!$A$7:$A$113,0)),0)</x:f>
        <x:v>28.000000000000004</x:v>
      </x:c>
      <x:c r="M49" s="55" t="n">
        <x:f>J49*L49</x:f>
        <x:v>560.0000000000001</x:v>
      </x:c>
      <x:c r="N49" s="55" t="n">
        <x:f>SUMIF($A$7:$A$108,A49,$M$7:$M$108)</x:f>
        <x:v>159023.41077511077</x:v>
      </x:c>
      <x:c r="O49" s="55" t="n">
        <x:f>IF(E49&gt;0,N49/E49,0)</x:f>
        <x:v>159023.41077511077</x:v>
      </x:c>
      <x:c r="P49" s="53" t="str">
        <x:v>2026-06-25 02:50:51</x:v>
      </x:c>
      <x:c r="Q49" s="53" t="str"/>
      <x:c r="R49" s="53" t="str">
        <x:v>678b6ca1-9463-457b-999d-0236946b9b6f</x:v>
      </x:c>
      <x:c r="S49" s="56" t="str">
        <x:v>074a2dc0-6d3d-4849-92e1-3e7b5e35e83e</x:v>
      </x:c>
    </x:row>
    <x:row r="50">
      <x:c r="A50" s="52" t="str">
        <x:v>Sườn 1 gang-thành phẩm</x:v>
      </x:c>
      <x:c r="B50" s="53" t="str">
        <x:v>Có</x:v>
      </x:c>
      <x:c r="C50" s="53" t="str">
        <x:v>T014</x:v>
      </x:c>
      <x:c r="D50" s="53" t="str">
        <x:v>Sườn 1 gang-thành phẩm</x:v>
      </x:c>
      <x:c r="E50" s="54" t="n">
        <x:v>1</x:v>
      </x:c>
      <x:c r="F50" s="54" t="str">
        <x:v>kg</x:v>
      </x:c>
      <x:c r="G50" s="54" t="str">
        <x:v>GV08</x:v>
      </x:c>
      <x:c r="H50" s="54" t="str">
        <x:v>Nước tương Lee Kum Kee</x:v>
      </x:c>
      <x:c r="I50" s="54" t="str">
        <x:v>Gia vị</x:v>
      </x:c>
      <x:c r="J50" s="54" t="n">
        <x:v>30</x:v>
      </x:c>
      <x:c r="K50" s="54" t="str">
        <x:v>ml</x:v>
      </x:c>
      <x:c r="L50" s="55" t="n">
        <x:f>IFERROR(INDEX('Tổng'!$L$7:$L$113,MATCH(G50,'Tổng'!$A$7:$A$113,0)),0)</x:f>
        <x:v>96.666</x:v>
      </x:c>
      <x:c r="M50" s="55" t="n">
        <x:f>J50*L50</x:f>
        <x:v>2899.98</x:v>
      </x:c>
      <x:c r="N50" s="55" t="n">
        <x:f>SUMIF($A$7:$A$108,A50,$M$7:$M$108)</x:f>
        <x:v>159023.41077511077</x:v>
      </x:c>
      <x:c r="O50" s="55" t="n">
        <x:f>IF(E50&gt;0,N50/E50,0)</x:f>
        <x:v>159023.41077511077</x:v>
      </x:c>
      <x:c r="P50" s="53" t="str">
        <x:v>2026-06-25 02:50:51</x:v>
      </x:c>
      <x:c r="Q50" s="53" t="str"/>
      <x:c r="R50" s="53" t="str">
        <x:v>678b6ca1-9463-457b-999d-0236946b9b6f</x:v>
      </x:c>
      <x:c r="S50" s="56" t="str">
        <x:v>db623502-de5c-4c28-a12b-f11f2c25691d</x:v>
      </x:c>
    </x:row>
    <x:row r="51">
      <x:c r="A51" s="52" t="str">
        <x:v>Sườn 1 gang-thành phẩm</x:v>
      </x:c>
      <x:c r="B51" s="53" t="str">
        <x:v>Có</x:v>
      </x:c>
      <x:c r="C51" s="53" t="str">
        <x:v>T014</x:v>
      </x:c>
      <x:c r="D51" s="53" t="str">
        <x:v>Sườn 1 gang-thành phẩm</x:v>
      </x:c>
      <x:c r="E51" s="54" t="n">
        <x:v>1</x:v>
      </x:c>
      <x:c r="F51" s="54" t="str">
        <x:v>kg</x:v>
      </x:c>
      <x:c r="G51" s="54" t="str">
        <x:v>GV09</x:v>
      </x:c>
      <x:c r="H51" s="54" t="str">
        <x:v>Dầu hào Lee Kum Kee</x:v>
      </x:c>
      <x:c r="I51" s="54" t="str">
        <x:v>Dầu</x:v>
      </x:c>
      <x:c r="J51" s="54" t="n">
        <x:v>20</x:v>
      </x:c>
      <x:c r="K51" s="54" t="str">
        <x:v>g</x:v>
      </x:c>
      <x:c r="L51" s="55" t="n">
        <x:f>IFERROR(INDEX('Tổng'!$L$7:$L$113,MATCH(G51,'Tổng'!$A$7:$A$113,0)),0)</x:f>
        <x:v>62.09215700000001</x:v>
      </x:c>
      <x:c r="M51" s="55" t="n">
        <x:f>J51*L51</x:f>
        <x:v>1241.8431400000002</x:v>
      </x:c>
      <x:c r="N51" s="55" t="n">
        <x:f>SUMIF($A$7:$A$108,A51,$M$7:$M$108)</x:f>
        <x:v>159023.41077511077</x:v>
      </x:c>
      <x:c r="O51" s="55" t="n">
        <x:f>IF(E51&gt;0,N51/E51,0)</x:f>
        <x:v>159023.41077511077</x:v>
      </x:c>
      <x:c r="P51" s="53" t="str">
        <x:v>2026-06-25 02:50:51</x:v>
      </x:c>
      <x:c r="Q51" s="53" t="str"/>
      <x:c r="R51" s="53" t="str">
        <x:v>678b6ca1-9463-457b-999d-0236946b9b6f</x:v>
      </x:c>
      <x:c r="S51" s="56" t="str">
        <x:v>48ad2b24-cf16-4a2f-912a-654c48e1d56b</x:v>
      </x:c>
    </x:row>
    <x:row r="52">
      <x:c r="A52" s="52" t="str">
        <x:v>Sườn 1 gang-thành phẩm</x:v>
      </x:c>
      <x:c r="B52" s="53" t="str">
        <x:v>Có</x:v>
      </x:c>
      <x:c r="C52" s="53" t="str">
        <x:v>T014</x:v>
      </x:c>
      <x:c r="D52" s="53" t="str">
        <x:v>Sườn 1 gang-thành phẩm</x:v>
      </x:c>
      <x:c r="E52" s="54" t="n">
        <x:v>1</x:v>
      </x:c>
      <x:c r="F52" s="54" t="str">
        <x:v>kg</x:v>
      </x:c>
      <x:c r="G52" s="54" t="str">
        <x:v>NM50</x:v>
      </x:c>
      <x:c r="H52" s="54" t="str">
        <x:v>Nước mắm Hạnh Phúc 50</x:v>
      </x:c>
      <x:c r="I52" s="54" t="str">
        <x:v>Gia vị</x:v>
      </x:c>
      <x:c r="J52" s="54" t="n">
        <x:v>10</x:v>
      </x:c>
      <x:c r="K52" s="54" t="str">
        <x:v>ml</x:v>
      </x:c>
      <x:c r="L52" s="55" t="n">
        <x:f>IFERROR(INDEX('Tổng'!$L$7:$L$113,MATCH(G52,'Tổng'!$A$7:$A$113,0)),0)</x:f>
        <x:v>234.03799999999998</x:v>
      </x:c>
      <x:c r="M52" s="55" t="n">
        <x:f>J52*L52</x:f>
        <x:v>2340.3799999999997</x:v>
      </x:c>
      <x:c r="N52" s="55" t="n">
        <x:f>SUMIF($A$7:$A$108,A52,$M$7:$M$108)</x:f>
        <x:v>159023.41077511077</x:v>
      </x:c>
      <x:c r="O52" s="55" t="n">
        <x:f>IF(E52&gt;0,N52/E52,0)</x:f>
        <x:v>159023.41077511077</x:v>
      </x:c>
      <x:c r="P52" s="53" t="str">
        <x:v>2026-06-25 02:50:51</x:v>
      </x:c>
      <x:c r="Q52" s="53" t="str"/>
      <x:c r="R52" s="53" t="str">
        <x:v>678b6ca1-9463-457b-999d-0236946b9b6f</x:v>
      </x:c>
      <x:c r="S52" s="56" t="str">
        <x:v>d2923357-be91-4b31-b6e2-0969ce591ce4</x:v>
      </x:c>
    </x:row>
    <x:row r="53">
      <x:c r="A53" s="52" t="str">
        <x:v>Sườn 1 gang-thành phẩm</x:v>
      </x:c>
      <x:c r="B53" s="53" t="str">
        <x:v>Có</x:v>
      </x:c>
      <x:c r="C53" s="53" t="str">
        <x:v>T014</x:v>
      </x:c>
      <x:c r="D53" s="53" t="str">
        <x:v>Sườn 1 gang-thành phẩm</x:v>
      </x:c>
      <x:c r="E53" s="54" t="n">
        <x:v>1</x:v>
      </x:c>
      <x:c r="F53" s="54" t="str">
        <x:v>kg</x:v>
      </x:c>
      <x:c r="G53" s="54" t="str">
        <x:v>N007</x:v>
      </x:c>
      <x:c r="H53" s="54" t="str">
        <x:v>Coca 2.25</x:v>
      </x:c>
      <x:c r="I53" s="54" t="str">
        <x:v>Nước</x:v>
      </x:c>
      <x:c r="J53" s="54" t="n">
        <x:v>100</x:v>
      </x:c>
      <x:c r="K53" s="54" t="str">
        <x:v>ml</x:v>
      </x:c>
      <x:c r="L53" s="55" t="n">
        <x:f>IFERROR(INDEX('Tổng'!$L$7:$L$113,MATCH(G53,'Tổng'!$A$7:$A$113,0)),0)</x:f>
        <x:v>9.703556</x:v>
      </x:c>
      <x:c r="M53" s="55" t="n">
        <x:f>J53*L53</x:f>
        <x:v>970.3556000000001</x:v>
      </x:c>
      <x:c r="N53" s="55" t="n">
        <x:f>SUMIF($A$7:$A$108,A53,$M$7:$M$108)</x:f>
        <x:v>159023.41077511077</x:v>
      </x:c>
      <x:c r="O53" s="55" t="n">
        <x:f>IF(E53&gt;0,N53/E53,0)</x:f>
        <x:v>159023.41077511077</x:v>
      </x:c>
      <x:c r="P53" s="53" t="str">
        <x:v>2026-06-25 02:50:51</x:v>
      </x:c>
      <x:c r="Q53" s="53" t="str"/>
      <x:c r="R53" s="53" t="str">
        <x:v>678b6ca1-9463-457b-999d-0236946b9b6f</x:v>
      </x:c>
      <x:c r="S53" s="56" t="str">
        <x:v>019ecae8-cfde-72db-9746-cbbc30938a38</x:v>
      </x:c>
    </x:row>
    <x:row r="54">
      <x:c r="A54" s="52" t="str">
        <x:v>Sườn 1 gang-thành phẩm</x:v>
      </x:c>
      <x:c r="B54" s="53" t="str">
        <x:v>Có</x:v>
      </x:c>
      <x:c r="C54" s="53" t="str">
        <x:v>T014</x:v>
      </x:c>
      <x:c r="D54" s="53" t="str">
        <x:v>Sườn 1 gang-thành phẩm</x:v>
      </x:c>
      <x:c r="E54" s="54" t="n">
        <x:v>1</x:v>
      </x:c>
      <x:c r="F54" s="54" t="str">
        <x:v>kg</x:v>
      </x:c>
      <x:c r="G54" s="54" t="str">
        <x:v>RU01</x:v>
      </x:c>
      <x:c r="H54" s="54" t="str">
        <x:v>Rượu Mai Quế Lộ</x:v>
      </x:c>
      <x:c r="I54" s="54" t="str">
        <x:v>Rượu</x:v>
      </x:c>
      <x:c r="J54" s="54" t="n">
        <x:v>2</x:v>
      </x:c>
      <x:c r="K54" s="54" t="str">
        <x:v>ml</x:v>
      </x:c>
      <x:c r="L54" s="55" t="n">
        <x:f>IFERROR(INDEX('Tổng'!$L$7:$L$113,MATCH(G54,'Tổng'!$A$7:$A$113,0)),0)</x:f>
        <x:v>121.527083</x:v>
      </x:c>
      <x:c r="M54" s="55" t="n">
        <x:f>J54*L54</x:f>
        <x:v>243.054166</x:v>
      </x:c>
      <x:c r="N54" s="55" t="n">
        <x:f>SUMIF($A$7:$A$108,A54,$M$7:$M$108)</x:f>
        <x:v>159023.41077511077</x:v>
      </x:c>
      <x:c r="O54" s="55" t="n">
        <x:f>IF(E54&gt;0,N54/E54,0)</x:f>
        <x:v>159023.41077511077</x:v>
      </x:c>
      <x:c r="P54" s="53" t="str">
        <x:v>2026-06-25 02:50:51</x:v>
      </x:c>
      <x:c r="Q54" s="53" t="str"/>
      <x:c r="R54" s="53" t="str">
        <x:v>678b6ca1-9463-457b-999d-0236946b9b6f</x:v>
      </x:c>
      <x:c r="S54" s="56" t="str">
        <x:v>746a88a8-d383-4ab8-8fe6-69bd6e9c08c4</x:v>
      </x:c>
    </x:row>
    <x:row r="55">
      <x:c r="A55" s="52" t="str">
        <x:v>Sườn 1 gang-thành phẩm</x:v>
      </x:c>
      <x:c r="B55" s="53" t="str">
        <x:v>Có</x:v>
      </x:c>
      <x:c r="C55" s="53" t="str">
        <x:v>T014</x:v>
      </x:c>
      <x:c r="D55" s="53" t="str">
        <x:v>Sườn 1 gang-thành phẩm</x:v>
      </x:c>
      <x:c r="E55" s="54" t="n">
        <x:v>1</x:v>
      </x:c>
      <x:c r="F55" s="54" t="str">
        <x:v>kg</x:v>
      </x:c>
      <x:c r="G55" s="54" t="str">
        <x:v>GV04</x:v>
      </x:c>
      <x:c r="H55" s="54" t="str">
        <x:v>Đường cát vàng Mỹ Tho</x:v>
      </x:c>
      <x:c r="I55" s="54" t="str">
        <x:v>Gia vị</x:v>
      </x:c>
      <x:c r="J55" s="54" t="n">
        <x:v>60</x:v>
      </x:c>
      <x:c r="K55" s="54" t="str">
        <x:v>g</x:v>
      </x:c>
      <x:c r="L55" s="55" t="n">
        <x:f>IFERROR(INDEX('Tổng'!$L$7:$L$113,MATCH(G55,'Tổng'!$A$7:$A$113,0)),0)</x:f>
        <x:v>21.667</x:v>
      </x:c>
      <x:c r="M55" s="55" t="n">
        <x:f>J55*L55</x:f>
        <x:v>1300.02</x:v>
      </x:c>
      <x:c r="N55" s="55" t="n">
        <x:f>SUMIF($A$7:$A$108,A55,$M$7:$M$108)</x:f>
        <x:v>159023.41077511077</x:v>
      </x:c>
      <x:c r="O55" s="55" t="n">
        <x:f>IF(E55&gt;0,N55/E55,0)</x:f>
        <x:v>159023.41077511077</x:v>
      </x:c>
      <x:c r="P55" s="53" t="str">
        <x:v>2026-06-25 02:50:51</x:v>
      </x:c>
      <x:c r="Q55" s="53" t="str"/>
      <x:c r="R55" s="53" t="str">
        <x:v>678b6ca1-9463-457b-999d-0236946b9b6f</x:v>
      </x:c>
      <x:c r="S55" s="56" t="str">
        <x:v>df7a19b8-12ab-4f20-9aca-4d68e94a57be</x:v>
      </x:c>
    </x:row>
    <x:row r="56">
      <x:c r="A56" s="52" t="str">
        <x:v>Sườn 1 gang-thành phẩm</x:v>
      </x:c>
      <x:c r="B56" s="53" t="str">
        <x:v>Có</x:v>
      </x:c>
      <x:c r="C56" s="53" t="str">
        <x:v>T014</x:v>
      </x:c>
      <x:c r="D56" s="53" t="str">
        <x:v>Sườn 1 gang-thành phẩm</x:v>
      </x:c>
      <x:c r="E56" s="54" t="n">
        <x:v>1</x:v>
      </x:c>
      <x:c r="F56" s="54" t="str">
        <x:v>kg</x:v>
      </x:c>
      <x:c r="G56" s="54" t="str">
        <x:v>GV17</x:v>
      </x:c>
      <x:c r="H56" s="54" t="str">
        <x:v>Hạt nêm Meizan</x:v>
      </x:c>
      <x:c r="I56" s="54" t="str">
        <x:v>Gia vị</x:v>
      </x:c>
      <x:c r="J56" s="54" t="n">
        <x:v>12.4</x:v>
      </x:c>
      <x:c r="K56" s="54" t="str">
        <x:v>g</x:v>
      </x:c>
      <x:c r="L56" s="55" t="n">
        <x:f>IFERROR(INDEX('Tổng'!$L$7:$L$113,MATCH(G56,'Tổng'!$A$7:$A$113,0)),0)</x:f>
        <x:v>40.42488951592553</x:v>
      </x:c>
      <x:c r="M56" s="55" t="n">
        <x:f>J56*L56</x:f>
        <x:v>501.2686299974766</x:v>
      </x:c>
      <x:c r="N56" s="55" t="n">
        <x:f>SUMIF($A$7:$A$108,A56,$M$7:$M$108)</x:f>
        <x:v>159023.41077511077</x:v>
      </x:c>
      <x:c r="O56" s="55" t="n">
        <x:f>IF(E56&gt;0,N56/E56,0)</x:f>
        <x:v>159023.41077511077</x:v>
      </x:c>
      <x:c r="P56" s="53" t="str">
        <x:v>2026-06-25 02:50:51</x:v>
      </x:c>
      <x:c r="Q56" s="53" t="str"/>
      <x:c r="R56" s="53" t="str">
        <x:v>678b6ca1-9463-457b-999d-0236946b9b6f</x:v>
      </x:c>
      <x:c r="S56" s="56" t="str">
        <x:v>3dd6a1a7-87da-4234-8832-4951b912b415</x:v>
      </x:c>
    </x:row>
    <x:row r="57">
      <x:c r="A57" s="52" t="str">
        <x:v>Sườn 1 gang-thành phẩm</x:v>
      </x:c>
      <x:c r="B57" s="53" t="str">
        <x:v>Có</x:v>
      </x:c>
      <x:c r="C57" s="53" t="str">
        <x:v>T014</x:v>
      </x:c>
      <x:c r="D57" s="53" t="str">
        <x:v>Sườn 1 gang-thành phẩm</x:v>
      </x:c>
      <x:c r="E57" s="54" t="n">
        <x:v>1</x:v>
      </x:c>
      <x:c r="F57" s="54" t="str">
        <x:v>kg</x:v>
      </x:c>
      <x:c r="G57" s="54" t="str">
        <x:v>GV11</x:v>
      </x:c>
      <x:c r="H57" s="54" t="str">
        <x:v>Bột ngọt Ajinomoto</x:v>
      </x:c>
      <x:c r="I57" s="54" t="str">
        <x:v>Gia vị</x:v>
      </x:c>
      <x:c r="J57" s="54" t="n">
        <x:v>10</x:v>
      </x:c>
      <x:c r="K57" s="54" t="str">
        <x:v>g</x:v>
      </x:c>
      <x:c r="L57" s="55" t="n">
        <x:f>IFERROR(INDEX('Tổng'!$L$7:$L$113,MATCH(G57,'Tổng'!$A$7:$A$113,0)),0)</x:f>
        <x:v>52.07613738255819</x:v>
      </x:c>
      <x:c r="M57" s="55" t="n">
        <x:f>J57*L57</x:f>
        <x:v>520.7613738255818</x:v>
      </x:c>
      <x:c r="N57" s="55" t="n">
        <x:f>SUMIF($A$7:$A$108,A57,$M$7:$M$108)</x:f>
        <x:v>159023.41077511077</x:v>
      </x:c>
      <x:c r="O57" s="55" t="n">
        <x:f>IF(E57&gt;0,N57/E57,0)</x:f>
        <x:v>159023.41077511077</x:v>
      </x:c>
      <x:c r="P57" s="53" t="str">
        <x:v>2026-06-25 02:50:51</x:v>
      </x:c>
      <x:c r="Q57" s="53" t="str"/>
      <x:c r="R57" s="53" t="str">
        <x:v>678b6ca1-9463-457b-999d-0236946b9b6f</x:v>
      </x:c>
      <x:c r="S57" s="56" t="str">
        <x:v>c073b531-f388-4767-a932-60b9f5cdd04f</x:v>
      </x:c>
    </x:row>
    <x:row r="58">
      <x:c r="A58" s="52" t="str">
        <x:v>Sườn 1 gang-thành phẩm</x:v>
      </x:c>
      <x:c r="B58" s="53" t="str">
        <x:v>Có</x:v>
      </x:c>
      <x:c r="C58" s="53" t="str">
        <x:v>T014</x:v>
      </x:c>
      <x:c r="D58" s="53" t="str">
        <x:v>Sườn 1 gang-thành phẩm</x:v>
      </x:c>
      <x:c r="E58" s="54" t="n">
        <x:v>1</x:v>
      </x:c>
      <x:c r="F58" s="54" t="str">
        <x:v>kg</x:v>
      </x:c>
      <x:c r="G58" s="54" t="str">
        <x:v>GV12</x:v>
      </x:c>
      <x:c r="H58" s="54" t="str">
        <x:v>Baking soda</x:v>
      </x:c>
      <x:c r="I58" s="54" t="str">
        <x:v>Gia vị</x:v>
      </x:c>
      <x:c r="J58" s="54" t="n">
        <x:v>2.5</x:v>
      </x:c>
      <x:c r="K58" s="54" t="str">
        <x:v>g</x:v>
      </x:c>
      <x:c r="L58" s="55" t="n">
        <x:f>IFERROR(INDEX('Tổng'!$L$7:$L$113,MATCH(G58,'Tổng'!$A$7:$A$113,0)),0)</x:f>
        <x:v>66.079295</x:v>
      </x:c>
      <x:c r="M58" s="55" t="n">
        <x:f>J58*L58</x:f>
        <x:v>165.1982375</x:v>
      </x:c>
      <x:c r="N58" s="55" t="n">
        <x:f>SUMIF($A$7:$A$108,A58,$M$7:$M$108)</x:f>
        <x:v>159023.41077511077</x:v>
      </x:c>
      <x:c r="O58" s="55" t="n">
        <x:f>IF(E58&gt;0,N58/E58,0)</x:f>
        <x:v>159023.41077511077</x:v>
      </x:c>
      <x:c r="P58" s="53" t="str">
        <x:v>2026-06-25 02:50:51</x:v>
      </x:c>
      <x:c r="Q58" s="53" t="str"/>
      <x:c r="R58" s="53" t="str">
        <x:v>678b6ca1-9463-457b-999d-0236946b9b6f</x:v>
      </x:c>
      <x:c r="S58" s="56" t="str">
        <x:v>6770d2fc-d58d-4cfc-8c19-6fa3da09e47c</x:v>
      </x:c>
    </x:row>
    <x:row r="59">
      <x:c r="A59" s="52" t="str">
        <x:v>Sườn 1 gang-thành phẩm</x:v>
      </x:c>
      <x:c r="B59" s="53" t="str">
        <x:v>Có</x:v>
      </x:c>
      <x:c r="C59" s="53" t="str">
        <x:v>T014</x:v>
      </x:c>
      <x:c r="D59" s="53" t="str">
        <x:v>Sườn 1 gang-thành phẩm</x:v>
      </x:c>
      <x:c r="E59" s="54" t="n">
        <x:v>1</x:v>
      </x:c>
      <x:c r="F59" s="54" t="str">
        <x:v>kg</x:v>
      </x:c>
      <x:c r="G59" s="54" t="str">
        <x:v>GV13</x:v>
      </x:c>
      <x:c r="H59" s="54" t="str">
        <x:v>Tiêu</x:v>
      </x:c>
      <x:c r="I59" s="54" t="str">
        <x:v>Gia vị</x:v>
      </x:c>
      <x:c r="J59" s="54" t="n">
        <x:v>2.5</x:v>
      </x:c>
      <x:c r="K59" s="54" t="str">
        <x:v>g</x:v>
      </x:c>
      <x:c r="L59" s="55" t="n">
        <x:f>IFERROR(INDEX('Tổng'!$L$7:$L$113,MATCH(G59,'Tổng'!$A$7:$A$113,0)),0)</x:f>
        <x:v>210</x:v>
      </x:c>
      <x:c r="M59" s="55" t="n">
        <x:f>J59*L59</x:f>
        <x:v>525</x:v>
      </x:c>
      <x:c r="N59" s="55" t="n">
        <x:f>SUMIF($A$7:$A$108,A59,$M$7:$M$108)</x:f>
        <x:v>159023.41077511077</x:v>
      </x:c>
      <x:c r="O59" s="55" t="n">
        <x:f>IF(E59&gt;0,N59/E59,0)</x:f>
        <x:v>159023.41077511077</x:v>
      </x:c>
      <x:c r="P59" s="53" t="str">
        <x:v>2026-06-25 02:50:51</x:v>
      </x:c>
      <x:c r="Q59" s="53" t="str"/>
      <x:c r="R59" s="53" t="str">
        <x:v>678b6ca1-9463-457b-999d-0236946b9b6f</x:v>
      </x:c>
      <x:c r="S59" s="56" t="str">
        <x:v>821f120f-1ea0-4da2-a383-fdd3e5e50493</x:v>
      </x:c>
    </x:row>
    <x:row r="60">
      <x:c r="A60" s="52" t="str">
        <x:v>Sườn 1 gang-thành phẩm</x:v>
      </x:c>
      <x:c r="B60" s="53" t="str">
        <x:v>Có</x:v>
      </x:c>
      <x:c r="C60" s="53" t="str">
        <x:v>T014</x:v>
      </x:c>
      <x:c r="D60" s="53" t="str">
        <x:v>Sườn 1 gang-thành phẩm</x:v>
      </x:c>
      <x:c r="E60" s="54" t="n">
        <x:v>1</x:v>
      </x:c>
      <x:c r="F60" s="54" t="str">
        <x:v>kg</x:v>
      </x:c>
      <x:c r="G60" s="54" t="str">
        <x:v>R004</x:v>
      </x:c>
      <x:c r="H60" s="54" t="str">
        <x:v>Sả</x:v>
      </x:c>
      <x:c r="I60" s="54" t="str">
        <x:v>Rau, củ</x:v>
      </x:c>
      <x:c r="J60" s="54" t="n">
        <x:v>20</x:v>
      </x:c>
      <x:c r="K60" s="54" t="str">
        <x:v>g</x:v>
      </x:c>
      <x:c r="L60" s="55" t="n">
        <x:f>IFERROR(INDEX('Tổng'!$L$7:$L$113,MATCH(G60,'Tổng'!$A$7:$A$113,0)),0)</x:f>
        <x:v>20</x:v>
      </x:c>
      <x:c r="M60" s="55" t="n">
        <x:f>J60*L60</x:f>
        <x:v>400</x:v>
      </x:c>
      <x:c r="N60" s="55" t="n">
        <x:f>SUMIF($A$7:$A$108,A60,$M$7:$M$108)</x:f>
        <x:v>159023.41077511077</x:v>
      </x:c>
      <x:c r="O60" s="55" t="n">
        <x:f>IF(E60&gt;0,N60/E60,0)</x:f>
        <x:v>159023.41077511077</x:v>
      </x:c>
      <x:c r="P60" s="53" t="str">
        <x:v>2026-06-25 02:50:51</x:v>
      </x:c>
      <x:c r="Q60" s="53" t="str"/>
      <x:c r="R60" s="53" t="str">
        <x:v>678b6ca1-9463-457b-999d-0236946b9b6f</x:v>
      </x:c>
      <x:c r="S60" s="56" t="str">
        <x:v>10ad0816-a417-43db-b97c-73ff76329f80</x:v>
      </x:c>
    </x:row>
    <x:row r="61">
      <x:c r="A61" s="52" t="str">
        <x:v>Sườn 1 gang-thành phẩm</x:v>
      </x:c>
      <x:c r="B61" s="53" t="str">
        <x:v>Có</x:v>
      </x:c>
      <x:c r="C61" s="53" t="str">
        <x:v>T014</x:v>
      </x:c>
      <x:c r="D61" s="53" t="str">
        <x:v>Sườn 1 gang-thành phẩm</x:v>
      </x:c>
      <x:c r="E61" s="54" t="n">
        <x:v>1</x:v>
      </x:c>
      <x:c r="F61" s="54" t="str">
        <x:v>kg</x:v>
      </x:c>
      <x:c r="G61" s="54" t="str">
        <x:v>GV14</x:v>
      </x:c>
      <x:c r="H61" s="54" t="str">
        <x:v>Bột năng</x:v>
      </x:c>
      <x:c r="I61" s="54" t="str">
        <x:v>Gia vị</x:v>
      </x:c>
      <x:c r="J61" s="54" t="n">
        <x:v>10</x:v>
      </x:c>
      <x:c r="K61" s="54" t="str">
        <x:v>g</x:v>
      </x:c>
      <x:c r="L61" s="55" t="n">
        <x:f>IFERROR(INDEX('Tổng'!$L$7:$L$113,MATCH(G61,'Tổng'!$A$7:$A$113,0)),0)</x:f>
        <x:v>22.416722778766033</x:v>
      </x:c>
      <x:c r="M61" s="55" t="n">
        <x:f>J61*L61</x:f>
        <x:v>224.16722778766032</x:v>
      </x:c>
      <x:c r="N61" s="55" t="n">
        <x:f>SUMIF($A$7:$A$108,A61,$M$7:$M$108)</x:f>
        <x:v>159023.41077511077</x:v>
      </x:c>
      <x:c r="O61" s="55" t="n">
        <x:f>IF(E61&gt;0,N61/E61,0)</x:f>
        <x:v>159023.41077511077</x:v>
      </x:c>
      <x:c r="P61" s="53" t="str">
        <x:v>2026-06-25 02:50:51</x:v>
      </x:c>
      <x:c r="Q61" s="53" t="str"/>
      <x:c r="R61" s="53" t="str">
        <x:v>678b6ca1-9463-457b-999d-0236946b9b6f</x:v>
      </x:c>
      <x:c r="S61" s="56" t="str">
        <x:v>b4098bfa-dee2-4aac-832f-e790cf4225d2</x:v>
      </x:c>
    </x:row>
    <x:row r="62">
      <x:c r="A62" s="52" t="str">
        <x:v>Sườn 1 gang-thành phẩm</x:v>
      </x:c>
      <x:c r="B62" s="53" t="str">
        <x:v>Có</x:v>
      </x:c>
      <x:c r="C62" s="53" t="str">
        <x:v>T014</x:v>
      </x:c>
      <x:c r="D62" s="53" t="str">
        <x:v>Sườn 1 gang-thành phẩm</x:v>
      </x:c>
      <x:c r="E62" s="54" t="n">
        <x:v>1</x:v>
      </x:c>
      <x:c r="F62" s="54" t="str">
        <x:v>kg</x:v>
      </x:c>
      <x:c r="G62" s="54" t="str">
        <x:v>R001</x:v>
      </x:c>
      <x:c r="H62" s="54" t="str">
        <x:v>Hành tím</x:v>
      </x:c>
      <x:c r="I62" s="54" t="str">
        <x:v>Rau, củ</x:v>
      </x:c>
      <x:c r="J62" s="54" t="n">
        <x:v>40</x:v>
      </x:c>
      <x:c r="K62" s="54" t="str">
        <x:v>g</x:v>
      </x:c>
      <x:c r="L62" s="55" t="n">
        <x:f>IFERROR(INDEX('Tổng'!$L$7:$L$113,MATCH(G62,'Tổng'!$A$7:$A$113,0)),0)</x:f>
        <x:v>17</x:v>
      </x:c>
      <x:c r="M62" s="55" t="n">
        <x:f>J62*L62</x:f>
        <x:v>680</x:v>
      </x:c>
      <x:c r="N62" s="55" t="n">
        <x:f>SUMIF($A$7:$A$108,A62,$M$7:$M$108)</x:f>
        <x:v>159023.41077511077</x:v>
      </x:c>
      <x:c r="O62" s="55" t="n">
        <x:f>IF(E62&gt;0,N62/E62,0)</x:f>
        <x:v>159023.41077511077</x:v>
      </x:c>
      <x:c r="P62" s="53" t="str">
        <x:v>2026-06-25 02:50:51</x:v>
      </x:c>
      <x:c r="Q62" s="53" t="str"/>
      <x:c r="R62" s="53" t="str">
        <x:v>678b6ca1-9463-457b-999d-0236946b9b6f</x:v>
      </x:c>
      <x:c r="S62" s="56" t="str">
        <x:v>a498f0e3-24dd-444e-a624-b9ca3902d79a</x:v>
      </x:c>
    </x:row>
    <x:row r="63">
      <x:c r="A63" s="52" t="str">
        <x:v>Sườn cọng-thành phẩm</x:v>
      </x:c>
      <x:c r="B63" s="53" t="str">
        <x:v>Có</x:v>
      </x:c>
      <x:c r="C63" s="53" t="str">
        <x:v>T007</x:v>
      </x:c>
      <x:c r="D63" s="53" t="str">
        <x:v>Sườn cọng-thành phẩm</x:v>
      </x:c>
      <x:c r="E63" s="54" t="n">
        <x:v>1</x:v>
      </x:c>
      <x:c r="F63" s="54" t="str">
        <x:v>kg</x:v>
      </x:c>
      <x:c r="G63" s="54" t="str">
        <x:v>GV01</x:v>
      </x:c>
      <x:c r="H63" s="54" t="str">
        <x:v>Sữa đặc Tài Lộc</x:v>
      </x:c>
      <x:c r="I63" s="54" t="str">
        <x:v>Nguyên liệu</x:v>
      </x:c>
      <x:c r="J63" s="54" t="n">
        <x:v>40</x:v>
      </x:c>
      <x:c r="K63" s="54" t="str">
        <x:v>g</x:v>
      </x:c>
      <x:c r="L63" s="55" t="n">
        <x:f>IFERROR(INDEX('Tổng'!$L$7:$L$113,MATCH(G63,'Tổng'!$A$7:$A$113,0)),0)</x:f>
        <x:v>35.695483</x:v>
      </x:c>
      <x:c r="M63" s="55" t="n">
        <x:f>J63*L63</x:f>
        <x:v>1427.81932</x:v>
      </x:c>
      <x:c r="N63" s="55" t="n">
        <x:f>SUMIF($A$7:$A$108,A63,$M$7:$M$108)</x:f>
        <x:v>199800.26018422123</x:v>
      </x:c>
      <x:c r="O63" s="55" t="n">
        <x:f>IF(E63&gt;0,N63/E63,0)</x:f>
        <x:v>199800.26018422123</x:v>
      </x:c>
      <x:c r="P63" s="53" t="str">
        <x:v>2026-06-15 02:36:51</x:v>
      </x:c>
      <x:c r="Q63" s="53" t="str"/>
      <x:c r="R63" s="53" t="str">
        <x:v>bef039e8-e08a-4018-baa8-712fc14cfb96</x:v>
      </x:c>
      <x:c r="S63" s="56" t="str">
        <x:v>50313214-5f8c-4b92-b13d-d2e1bd2d5410</x:v>
      </x:c>
    </x:row>
    <x:row r="64">
      <x:c r="A64" s="52" t="str">
        <x:v>Sườn cọng-thành phẩm</x:v>
      </x:c>
      <x:c r="B64" s="53" t="str">
        <x:v>Có</x:v>
      </x:c>
      <x:c r="C64" s="53" t="str">
        <x:v>T007</x:v>
      </x:c>
      <x:c r="D64" s="53" t="str">
        <x:v>Sườn cọng-thành phẩm</x:v>
      </x:c>
      <x:c r="E64" s="54" t="n">
        <x:v>1</x:v>
      </x:c>
      <x:c r="F64" s="54" t="str">
        <x:v>kg</x:v>
      </x:c>
      <x:c r="G64" s="54" t="str">
        <x:v>NM50</x:v>
      </x:c>
      <x:c r="H64" s="54" t="str">
        <x:v>Nước mắm Hạnh Phúc 50</x:v>
      </x:c>
      <x:c r="I64" s="54" t="str">
        <x:v>Gia vị</x:v>
      </x:c>
      <x:c r="J64" s="54" t="n">
        <x:v>10</x:v>
      </x:c>
      <x:c r="K64" s="54" t="str">
        <x:v>ml</x:v>
      </x:c>
      <x:c r="L64" s="55" t="n">
        <x:f>IFERROR(INDEX('Tổng'!$L$7:$L$113,MATCH(G64,'Tổng'!$A$7:$A$113,0)),0)</x:f>
        <x:v>234.03799999999998</x:v>
      </x:c>
      <x:c r="M64" s="55" t="n">
        <x:f>J64*L64</x:f>
        <x:v>2340.3799999999997</x:v>
      </x:c>
      <x:c r="N64" s="55" t="n">
        <x:f>SUMIF($A$7:$A$108,A64,$M$7:$M$108)</x:f>
        <x:v>199800.26018422123</x:v>
      </x:c>
      <x:c r="O64" s="55" t="n">
        <x:f>IF(E64&gt;0,N64/E64,0)</x:f>
        <x:v>199800.26018422123</x:v>
      </x:c>
      <x:c r="P64" s="53" t="str">
        <x:v>2026-06-15 02:36:51</x:v>
      </x:c>
      <x:c r="Q64" s="53" t="str"/>
      <x:c r="R64" s="53" t="str">
        <x:v>bef039e8-e08a-4018-baa8-712fc14cfb96</x:v>
      </x:c>
      <x:c r="S64" s="56" t="str">
        <x:v>d2923357-be91-4b31-b6e2-0969ce591ce4</x:v>
      </x:c>
    </x:row>
    <x:row r="65">
      <x:c r="A65" s="52" t="str">
        <x:v>Sườn cọng-thành phẩm</x:v>
      </x:c>
      <x:c r="B65" s="53" t="str">
        <x:v>Có</x:v>
      </x:c>
      <x:c r="C65" s="53" t="str">
        <x:v>T007</x:v>
      </x:c>
      <x:c r="D65" s="53" t="str">
        <x:v>Sườn cọng-thành phẩm</x:v>
      </x:c>
      <x:c r="E65" s="54" t="n">
        <x:v>1</x:v>
      </x:c>
      <x:c r="F65" s="54" t="str">
        <x:v>kg</x:v>
      </x:c>
      <x:c r="G65" s="54" t="str">
        <x:v>GV09</x:v>
      </x:c>
      <x:c r="H65" s="54" t="str">
        <x:v>Dầu hào Lee Kum Kee</x:v>
      </x:c>
      <x:c r="I65" s="54" t="str">
        <x:v>Dầu</x:v>
      </x:c>
      <x:c r="J65" s="54" t="n">
        <x:v>20</x:v>
      </x:c>
      <x:c r="K65" s="54" t="str">
        <x:v>g</x:v>
      </x:c>
      <x:c r="L65" s="55" t="n">
        <x:f>IFERROR(INDEX('Tổng'!$L$7:$L$113,MATCH(G65,'Tổng'!$A$7:$A$113,0)),0)</x:f>
        <x:v>62.09215700000001</x:v>
      </x:c>
      <x:c r="M65" s="55" t="n">
        <x:f>J65*L65</x:f>
        <x:v>1241.8431400000002</x:v>
      </x:c>
      <x:c r="N65" s="55" t="n">
        <x:f>SUMIF($A$7:$A$108,A65,$M$7:$M$108)</x:f>
        <x:v>199800.26018422123</x:v>
      </x:c>
      <x:c r="O65" s="55" t="n">
        <x:f>IF(E65&gt;0,N65/E65,0)</x:f>
        <x:v>199800.26018422123</x:v>
      </x:c>
      <x:c r="P65" s="53" t="str">
        <x:v>2026-06-15 02:36:51</x:v>
      </x:c>
      <x:c r="Q65" s="53" t="str"/>
      <x:c r="R65" s="53" t="str">
        <x:v>bef039e8-e08a-4018-baa8-712fc14cfb96</x:v>
      </x:c>
      <x:c r="S65" s="56" t="str">
        <x:v>48ad2b24-cf16-4a2f-912a-654c48e1d56b</x:v>
      </x:c>
    </x:row>
    <x:row r="66">
      <x:c r="A66" s="52" t="str">
        <x:v>Sườn cọng-thành phẩm</x:v>
      </x:c>
      <x:c r="B66" s="53" t="str">
        <x:v>Có</x:v>
      </x:c>
      <x:c r="C66" s="53" t="str">
        <x:v>T007</x:v>
      </x:c>
      <x:c r="D66" s="53" t="str">
        <x:v>Sườn cọng-thành phẩm</x:v>
      </x:c>
      <x:c r="E66" s="54" t="n">
        <x:v>1</x:v>
      </x:c>
      <x:c r="F66" s="54" t="str">
        <x:v>kg</x:v>
      </x:c>
      <x:c r="G66" s="54" t="str">
        <x:v>GV08</x:v>
      </x:c>
      <x:c r="H66" s="54" t="str">
        <x:v>Nước tương Lee Kum Kee</x:v>
      </x:c>
      <x:c r="I66" s="54" t="str">
        <x:v>Gia vị</x:v>
      </x:c>
      <x:c r="J66" s="54" t="n">
        <x:v>30</x:v>
      </x:c>
      <x:c r="K66" s="54" t="str">
        <x:v>ml</x:v>
      </x:c>
      <x:c r="L66" s="55" t="n">
        <x:f>IFERROR(INDEX('Tổng'!$L$7:$L$113,MATCH(G66,'Tổng'!$A$7:$A$113,0)),0)</x:f>
        <x:v>96.666</x:v>
      </x:c>
      <x:c r="M66" s="55" t="n">
        <x:f>J66*L66</x:f>
        <x:v>2899.98</x:v>
      </x:c>
      <x:c r="N66" s="55" t="n">
        <x:f>SUMIF($A$7:$A$108,A66,$M$7:$M$108)</x:f>
        <x:v>199800.26018422123</x:v>
      </x:c>
      <x:c r="O66" s="55" t="n">
        <x:f>IF(E66&gt;0,N66/E66,0)</x:f>
        <x:v>199800.26018422123</x:v>
      </x:c>
      <x:c r="P66" s="53" t="str">
        <x:v>2026-06-15 02:36:51</x:v>
      </x:c>
      <x:c r="Q66" s="53" t="str"/>
      <x:c r="R66" s="53" t="str">
        <x:v>bef039e8-e08a-4018-baa8-712fc14cfb96</x:v>
      </x:c>
      <x:c r="S66" s="56" t="str">
        <x:v>db623502-de5c-4c28-a12b-f11f2c25691d</x:v>
      </x:c>
    </x:row>
    <x:row r="67">
      <x:c r="A67" s="52" t="str">
        <x:v>Sườn cọng-thành phẩm</x:v>
      </x:c>
      <x:c r="B67" s="53" t="str">
        <x:v>Có</x:v>
      </x:c>
      <x:c r="C67" s="53" t="str">
        <x:v>T007</x:v>
      </x:c>
      <x:c r="D67" s="53" t="str">
        <x:v>Sườn cọng-thành phẩm</x:v>
      </x:c>
      <x:c r="E67" s="54" t="n">
        <x:v>1</x:v>
      </x:c>
      <x:c r="F67" s="54" t="str">
        <x:v>kg</x:v>
      </x:c>
      <x:c r="G67" s="54" t="str">
        <x:v>GV07</x:v>
      </x:c>
      <x:c r="H67" s="54" t="str">
        <x:v>Tương ớt Cholimex</x:v>
      </x:c>
      <x:c r="I67" s="54" t="str">
        <x:v>Nguyên liệu</x:v>
      </x:c>
      <x:c r="J67" s="54" t="n">
        <x:v>19.998</x:v>
      </x:c>
      <x:c r="K67" s="54" t="str">
        <x:v>g</x:v>
      </x:c>
      <x:c r="L67" s="55" t="n">
        <x:f>IFERROR(INDEX('Tổng'!$L$7:$L$113,MATCH(G67,'Tổng'!$A$7:$A$113,0)),0)</x:f>
        <x:v>28.000000000000004</x:v>
      </x:c>
      <x:c r="M67" s="55" t="n">
        <x:f>J67*L67</x:f>
        <x:v>559.9440000000001</x:v>
      </x:c>
      <x:c r="N67" s="55" t="n">
        <x:f>SUMIF($A$7:$A$108,A67,$M$7:$M$108)</x:f>
        <x:v>199800.26018422123</x:v>
      </x:c>
      <x:c r="O67" s="55" t="n">
        <x:f>IF(E67&gt;0,N67/E67,0)</x:f>
        <x:v>199800.26018422123</x:v>
      </x:c>
      <x:c r="P67" s="53" t="str">
        <x:v>2026-06-15 02:36:51</x:v>
      </x:c>
      <x:c r="Q67" s="53" t="str"/>
      <x:c r="R67" s="53" t="str">
        <x:v>bef039e8-e08a-4018-baa8-712fc14cfb96</x:v>
      </x:c>
      <x:c r="S67" s="56" t="str">
        <x:v>074a2dc0-6d3d-4849-92e1-3e7b5e35e83e</x:v>
      </x:c>
    </x:row>
    <x:row r="68">
      <x:c r="A68" s="52" t="str">
        <x:v>Sườn cọng-thành phẩm</x:v>
      </x:c>
      <x:c r="B68" s="53" t="str">
        <x:v>Có</x:v>
      </x:c>
      <x:c r="C68" s="53" t="str">
        <x:v>T007</x:v>
      </x:c>
      <x:c r="D68" s="53" t="str">
        <x:v>Sườn cọng-thành phẩm</x:v>
      </x:c>
      <x:c r="E68" s="54" t="n">
        <x:v>1</x:v>
      </x:c>
      <x:c r="F68" s="54" t="str">
        <x:v>kg</x:v>
      </x:c>
      <x:c r="G68" s="54" t="str">
        <x:v>GV02</x:v>
      </x:c>
      <x:c r="H68" s="54" t="str">
        <x:v>Mật ong Tây Bắc</x:v>
      </x:c>
      <x:c r="I68" s="54" t="str">
        <x:v>Nguyên liệu</x:v>
      </x:c>
      <x:c r="J68" s="54" t="n">
        <x:v>40</x:v>
      </x:c>
      <x:c r="K68" s="54" t="str">
        <x:v>ml</x:v>
      </x:c>
      <x:c r="L68" s="55" t="n">
        <x:f>IFERROR(INDEX('Tổng'!$L$7:$L$113,MATCH(G68,'Tổng'!$A$7:$A$113,0)),0)</x:f>
        <x:v>76.923077</x:v>
      </x:c>
      <x:c r="M68" s="55" t="n">
        <x:f>J68*L68</x:f>
        <x:v>3076.9230800000005</x:v>
      </x:c>
      <x:c r="N68" s="55" t="n">
        <x:f>SUMIF($A$7:$A$108,A68,$M$7:$M$108)</x:f>
        <x:v>199800.26018422123</x:v>
      </x:c>
      <x:c r="O68" s="55" t="n">
        <x:f>IF(E68&gt;0,N68/E68,0)</x:f>
        <x:v>199800.26018422123</x:v>
      </x:c>
      <x:c r="P68" s="53" t="str">
        <x:v>2026-06-15 02:36:51</x:v>
      </x:c>
      <x:c r="Q68" s="53" t="str"/>
      <x:c r="R68" s="53" t="str">
        <x:v>bef039e8-e08a-4018-baa8-712fc14cfb96</x:v>
      </x:c>
      <x:c r="S68" s="56" t="str">
        <x:v>530e5d53-cc77-4bdb-8b9d-982185c7b365</x:v>
      </x:c>
    </x:row>
    <x:row r="69">
      <x:c r="A69" s="52" t="str">
        <x:v>Sườn cọng-thành phẩm</x:v>
      </x:c>
      <x:c r="B69" s="53" t="str">
        <x:v>Có</x:v>
      </x:c>
      <x:c r="C69" s="53" t="str">
        <x:v>T007</x:v>
      </x:c>
      <x:c r="D69" s="53" t="str">
        <x:v>Sườn cọng-thành phẩm</x:v>
      </x:c>
      <x:c r="E69" s="54" t="n">
        <x:v>1</x:v>
      </x:c>
      <x:c r="F69" s="54" t="str">
        <x:v>kg</x:v>
      </x:c>
      <x:c r="G69" s="54" t="str">
        <x:v>T002</x:v>
      </x:c>
      <x:c r="H69" s="54" t="str">
        <x:v>Sườn cọng-tươi</x:v>
      </x:c>
      <x:c r="I69" s="54" t="str">
        <x:v>Thịt</x:v>
      </x:c>
      <x:c r="J69" s="54" t="n">
        <x:v>1</x:v>
      </x:c>
      <x:c r="K69" s="54" t="str">
        <x:v>kg</x:v>
      </x:c>
      <x:c r="L69" s="55" t="n">
        <x:f>IFERROR(INDEX('Tổng'!$L$7:$L$113,MATCH(G69,'Tổng'!$A$7:$A$113,0)),0)</x:f>
        <x:v>180000</x:v>
      </x:c>
      <x:c r="M69" s="55" t="n">
        <x:f>J69*L69</x:f>
        <x:v>180000</x:v>
      </x:c>
      <x:c r="N69" s="55" t="n">
        <x:f>SUMIF($A$7:$A$108,A69,$M$7:$M$108)</x:f>
        <x:v>199800.26018422123</x:v>
      </x:c>
      <x:c r="O69" s="55" t="n">
        <x:f>IF(E69&gt;0,N69/E69,0)</x:f>
        <x:v>199800.26018422123</x:v>
      </x:c>
      <x:c r="P69" s="53" t="str">
        <x:v>2026-06-15 02:36:51</x:v>
      </x:c>
      <x:c r="Q69" s="53" t="str"/>
      <x:c r="R69" s="53" t="str">
        <x:v>bef039e8-e08a-4018-baa8-712fc14cfb96</x:v>
      </x:c>
      <x:c r="S69" s="56" t="str">
        <x:v>92026d06-410c-40f7-80cb-9105eb408755</x:v>
      </x:c>
    </x:row>
    <x:row r="70">
      <x:c r="A70" s="52" t="str">
        <x:v>Sườn cọng-thành phẩm</x:v>
      </x:c>
      <x:c r="B70" s="53" t="str">
        <x:v>Có</x:v>
      </x:c>
      <x:c r="C70" s="53" t="str">
        <x:v>T007</x:v>
      </x:c>
      <x:c r="D70" s="53" t="str">
        <x:v>Sườn cọng-thành phẩm</x:v>
      </x:c>
      <x:c r="E70" s="54" t="n">
        <x:v>1</x:v>
      </x:c>
      <x:c r="F70" s="54" t="str">
        <x:v>kg</x:v>
      </x:c>
      <x:c r="G70" s="54" t="str">
        <x:v>D002</x:v>
      </x:c>
      <x:c r="H70" s="54" t="str">
        <x:v>Dầu điều VN Food</x:v>
      </x:c>
      <x:c r="I70" s="54" t="str">
        <x:v>Dầu</x:v>
      </x:c>
      <x:c r="J70" s="54" t="n">
        <x:v>20</x:v>
      </x:c>
      <x:c r="K70" s="54" t="str">
        <x:v>ml</x:v>
      </x:c>
      <x:c r="L70" s="55" t="n">
        <x:f>IFERROR(INDEX('Tổng'!$L$7:$L$113,MATCH(G70,'Tổng'!$A$7:$A$113,0)),0)</x:f>
        <x:v>78.332</x:v>
      </x:c>
      <x:c r="M70" s="55" t="n">
        <x:f>J70*L70</x:f>
        <x:v>1566.6399999999999</x:v>
      </x:c>
      <x:c r="N70" s="55" t="n">
        <x:f>SUMIF($A$7:$A$108,A70,$M$7:$M$108)</x:f>
        <x:v>199800.26018422123</x:v>
      </x:c>
      <x:c r="O70" s="55" t="n">
        <x:f>IF(E70&gt;0,N70/E70,0)</x:f>
        <x:v>199800.26018422123</x:v>
      </x:c>
      <x:c r="P70" s="53" t="str">
        <x:v>2026-06-15 02:36:51</x:v>
      </x:c>
      <x:c r="Q70" s="53" t="str"/>
      <x:c r="R70" s="53" t="str">
        <x:v>bef039e8-e08a-4018-baa8-712fc14cfb96</x:v>
      </x:c>
      <x:c r="S70" s="56" t="str">
        <x:v>2a953742-e1b1-478f-95df-6949ed84bb01</x:v>
      </x:c>
    </x:row>
    <x:row r="71">
      <x:c r="A71" s="52" t="str">
        <x:v>Sườn cọng-thành phẩm</x:v>
      </x:c>
      <x:c r="B71" s="53" t="str">
        <x:v>Có</x:v>
      </x:c>
      <x:c r="C71" s="53" t="str">
        <x:v>T007</x:v>
      </x:c>
      <x:c r="D71" s="53" t="str">
        <x:v>Sườn cọng-thành phẩm</x:v>
      </x:c>
      <x:c r="E71" s="54" t="n">
        <x:v>1</x:v>
      </x:c>
      <x:c r="F71" s="54" t="str">
        <x:v>kg</x:v>
      </x:c>
      <x:c r="G71" s="54" t="str">
        <x:v>R004</x:v>
      </x:c>
      <x:c r="H71" s="54" t="str">
        <x:v>Sả</x:v>
      </x:c>
      <x:c r="I71" s="54" t="str">
        <x:v>Rau, củ</x:v>
      </x:c>
      <x:c r="J71" s="54" t="n">
        <x:v>15</x:v>
      </x:c>
      <x:c r="K71" s="54" t="str">
        <x:v>g</x:v>
      </x:c>
      <x:c r="L71" s="55" t="n">
        <x:f>IFERROR(INDEX('Tổng'!$L$7:$L$113,MATCH(G71,'Tổng'!$A$7:$A$113,0)),0)</x:f>
        <x:v>20</x:v>
      </x:c>
      <x:c r="M71" s="55" t="n">
        <x:f>J71*L71</x:f>
        <x:v>300</x:v>
      </x:c>
      <x:c r="N71" s="55" t="n">
        <x:f>SUMIF($A$7:$A$108,A71,$M$7:$M$108)</x:f>
        <x:v>199800.26018422123</x:v>
      </x:c>
      <x:c r="O71" s="55" t="n">
        <x:f>IF(E71&gt;0,N71/E71,0)</x:f>
        <x:v>199800.26018422123</x:v>
      </x:c>
      <x:c r="P71" s="53" t="str">
        <x:v>2026-06-15 02:36:51</x:v>
      </x:c>
      <x:c r="Q71" s="53" t="str"/>
      <x:c r="R71" s="53" t="str">
        <x:v>bef039e8-e08a-4018-baa8-712fc14cfb96</x:v>
      </x:c>
      <x:c r="S71" s="56" t="str">
        <x:v>10ad0816-a417-43db-b97c-73ff76329f80</x:v>
      </x:c>
    </x:row>
    <x:row r="72">
      <x:c r="A72" s="52" t="str">
        <x:v>Sườn cọng-thành phẩm</x:v>
      </x:c>
      <x:c r="B72" s="53" t="str">
        <x:v>Có</x:v>
      </x:c>
      <x:c r="C72" s="53" t="str">
        <x:v>T007</x:v>
      </x:c>
      <x:c r="D72" s="53" t="str">
        <x:v>Sườn cọng-thành phẩm</x:v>
      </x:c>
      <x:c r="E72" s="54" t="n">
        <x:v>1</x:v>
      </x:c>
      <x:c r="F72" s="54" t="str">
        <x:v>kg</x:v>
      </x:c>
      <x:c r="G72" s="54" t="str">
        <x:v>R001</x:v>
      </x:c>
      <x:c r="H72" s="54" t="str">
        <x:v>Hành tím</x:v>
      </x:c>
      <x:c r="I72" s="54" t="str">
        <x:v>Rau, củ</x:v>
      </x:c>
      <x:c r="J72" s="54" t="n">
        <x:v>40</x:v>
      </x:c>
      <x:c r="K72" s="54" t="str">
        <x:v>g</x:v>
      </x:c>
      <x:c r="L72" s="55" t="n">
        <x:f>IFERROR(INDEX('Tổng'!$L$7:$L$113,MATCH(G72,'Tổng'!$A$7:$A$113,0)),0)</x:f>
        <x:v>17</x:v>
      </x:c>
      <x:c r="M72" s="55" t="n">
        <x:f>J72*L72</x:f>
        <x:v>680</x:v>
      </x:c>
      <x:c r="N72" s="55" t="n">
        <x:f>SUMIF($A$7:$A$108,A72,$M$7:$M$108)</x:f>
        <x:v>199800.26018422123</x:v>
      </x:c>
      <x:c r="O72" s="55" t="n">
        <x:f>IF(E72&gt;0,N72/E72,0)</x:f>
        <x:v>199800.26018422123</x:v>
      </x:c>
      <x:c r="P72" s="53" t="str">
        <x:v>2026-06-15 02:36:51</x:v>
      </x:c>
      <x:c r="Q72" s="53" t="str"/>
      <x:c r="R72" s="53" t="str">
        <x:v>bef039e8-e08a-4018-baa8-712fc14cfb96</x:v>
      </x:c>
      <x:c r="S72" s="56" t="str">
        <x:v>a498f0e3-24dd-444e-a624-b9ca3902d79a</x:v>
      </x:c>
    </x:row>
    <x:row r="73">
      <x:c r="A73" s="52" t="str">
        <x:v>Sườn cọng-thành phẩm</x:v>
      </x:c>
      <x:c r="B73" s="53" t="str">
        <x:v>Có</x:v>
      </x:c>
      <x:c r="C73" s="53" t="str">
        <x:v>T007</x:v>
      </x:c>
      <x:c r="D73" s="53" t="str">
        <x:v>Sườn cọng-thành phẩm</x:v>
      </x:c>
      <x:c r="E73" s="54" t="n">
        <x:v>1</x:v>
      </x:c>
      <x:c r="F73" s="54" t="str">
        <x:v>kg</x:v>
      </x:c>
      <x:c r="G73" s="54" t="str">
        <x:v>GV14</x:v>
      </x:c>
      <x:c r="H73" s="54" t="str">
        <x:v>Bột năng</x:v>
      </x:c>
      <x:c r="I73" s="54" t="str">
        <x:v>Gia vị</x:v>
      </x:c>
      <x:c r="J73" s="54" t="n">
        <x:v>10</x:v>
      </x:c>
      <x:c r="K73" s="54" t="str">
        <x:v>g</x:v>
      </x:c>
      <x:c r="L73" s="55" t="n">
        <x:f>IFERROR(INDEX('Tổng'!$L$7:$L$113,MATCH(G73,'Tổng'!$A$7:$A$113,0)),0)</x:f>
        <x:v>22.416722778766033</x:v>
      </x:c>
      <x:c r="M73" s="55" t="n">
        <x:f>J73*L73</x:f>
        <x:v>224.16722778766032</x:v>
      </x:c>
      <x:c r="N73" s="55" t="n">
        <x:f>SUMIF($A$7:$A$108,A73,$M$7:$M$108)</x:f>
        <x:v>199800.26018422123</x:v>
      </x:c>
      <x:c r="O73" s="55" t="n">
        <x:f>IF(E73&gt;0,N73/E73,0)</x:f>
        <x:v>199800.26018422123</x:v>
      </x:c>
      <x:c r="P73" s="53" t="str">
        <x:v>2026-06-15 02:36:51</x:v>
      </x:c>
      <x:c r="Q73" s="53" t="str"/>
      <x:c r="R73" s="53" t="str">
        <x:v>bef039e8-e08a-4018-baa8-712fc14cfb96</x:v>
      </x:c>
      <x:c r="S73" s="56" t="str">
        <x:v>b4098bfa-dee2-4aac-832f-e790cf4225d2</x:v>
      </x:c>
    </x:row>
    <x:row r="74">
      <x:c r="A74" s="52" t="str">
        <x:v>Sườn cọng-thành phẩm</x:v>
      </x:c>
      <x:c r="B74" s="53" t="str">
        <x:v>Có</x:v>
      </x:c>
      <x:c r="C74" s="53" t="str">
        <x:v>T007</x:v>
      </x:c>
      <x:c r="D74" s="53" t="str">
        <x:v>Sườn cọng-thành phẩm</x:v>
      </x:c>
      <x:c r="E74" s="54" t="n">
        <x:v>1</x:v>
      </x:c>
      <x:c r="F74" s="54" t="str">
        <x:v>kg</x:v>
      </x:c>
      <x:c r="G74" s="54" t="str">
        <x:v>GV13</x:v>
      </x:c>
      <x:c r="H74" s="54" t="str">
        <x:v>Tiêu</x:v>
      </x:c>
      <x:c r="I74" s="54" t="str">
        <x:v>Gia vị</x:v>
      </x:c>
      <x:c r="J74" s="54" t="n">
        <x:v>2.5</x:v>
      </x:c>
      <x:c r="K74" s="54" t="str">
        <x:v>g</x:v>
      </x:c>
      <x:c r="L74" s="55" t="n">
        <x:f>IFERROR(INDEX('Tổng'!$L$7:$L$113,MATCH(G74,'Tổng'!$A$7:$A$113,0)),0)</x:f>
        <x:v>210</x:v>
      </x:c>
      <x:c r="M74" s="55" t="n">
        <x:f>J74*L74</x:f>
        <x:v>525</x:v>
      </x:c>
      <x:c r="N74" s="55" t="n">
        <x:f>SUMIF($A$7:$A$108,A74,$M$7:$M$108)</x:f>
        <x:v>199800.26018422123</x:v>
      </x:c>
      <x:c r="O74" s="55" t="n">
        <x:f>IF(E74&gt;0,N74/E74,0)</x:f>
        <x:v>199800.26018422123</x:v>
      </x:c>
      <x:c r="P74" s="53" t="str">
        <x:v>2026-06-15 02:36:51</x:v>
      </x:c>
      <x:c r="Q74" s="53" t="str"/>
      <x:c r="R74" s="53" t="str">
        <x:v>bef039e8-e08a-4018-baa8-712fc14cfb96</x:v>
      </x:c>
      <x:c r="S74" s="56" t="str">
        <x:v>821f120f-1ea0-4da2-a383-fdd3e5e50493</x:v>
      </x:c>
    </x:row>
    <x:row r="75">
      <x:c r="A75" s="52" t="str">
        <x:v>Sườn cọng-thành phẩm</x:v>
      </x:c>
      <x:c r="B75" s="53" t="str">
        <x:v>Có</x:v>
      </x:c>
      <x:c r="C75" s="53" t="str">
        <x:v>T007</x:v>
      </x:c>
      <x:c r="D75" s="53" t="str">
        <x:v>Sườn cọng-thành phẩm</x:v>
      </x:c>
      <x:c r="E75" s="54" t="n">
        <x:v>1</x:v>
      </x:c>
      <x:c r="F75" s="54" t="str">
        <x:v>kg</x:v>
      </x:c>
      <x:c r="G75" s="54" t="str">
        <x:v>GV12</x:v>
      </x:c>
      <x:c r="H75" s="54" t="str">
        <x:v>Baking soda</x:v>
      </x:c>
      <x:c r="I75" s="54" t="str">
        <x:v>Gia vị</x:v>
      </x:c>
      <x:c r="J75" s="54" t="n">
        <x:v>2.5</x:v>
      </x:c>
      <x:c r="K75" s="54" t="str">
        <x:v>g</x:v>
      </x:c>
      <x:c r="L75" s="55" t="n">
        <x:f>IFERROR(INDEX('Tổng'!$L$7:$L$113,MATCH(G75,'Tổng'!$A$7:$A$113,0)),0)</x:f>
        <x:v>66.079295</x:v>
      </x:c>
      <x:c r="M75" s="55" t="n">
        <x:f>J75*L75</x:f>
        <x:v>165.1982375</x:v>
      </x:c>
      <x:c r="N75" s="55" t="n">
        <x:f>SUMIF($A$7:$A$108,A75,$M$7:$M$108)</x:f>
        <x:v>199800.26018422123</x:v>
      </x:c>
      <x:c r="O75" s="55" t="n">
        <x:f>IF(E75&gt;0,N75/E75,0)</x:f>
        <x:v>199800.26018422123</x:v>
      </x:c>
      <x:c r="P75" s="53" t="str">
        <x:v>2026-06-15 02:36:51</x:v>
      </x:c>
      <x:c r="Q75" s="53" t="str"/>
      <x:c r="R75" s="53" t="str">
        <x:v>bef039e8-e08a-4018-baa8-712fc14cfb96</x:v>
      </x:c>
      <x:c r="S75" s="56" t="str">
        <x:v>6770d2fc-d58d-4cfc-8c19-6fa3da09e47c</x:v>
      </x:c>
    </x:row>
    <x:row r="76">
      <x:c r="A76" s="52" t="str">
        <x:v>Sườn cọng-thành phẩm</x:v>
      </x:c>
      <x:c r="B76" s="53" t="str">
        <x:v>Có</x:v>
      </x:c>
      <x:c r="C76" s="53" t="str">
        <x:v>T007</x:v>
      </x:c>
      <x:c r="D76" s="53" t="str">
        <x:v>Sườn cọng-thành phẩm</x:v>
      </x:c>
      <x:c r="E76" s="54" t="n">
        <x:v>1</x:v>
      </x:c>
      <x:c r="F76" s="54" t="str">
        <x:v>kg</x:v>
      </x:c>
      <x:c r="G76" s="54" t="str">
        <x:v>GV11</x:v>
      </x:c>
      <x:c r="H76" s="54" t="str">
        <x:v>Bột ngọt Ajinomoto</x:v>
      </x:c>
      <x:c r="I76" s="54" t="str">
        <x:v>Gia vị</x:v>
      </x:c>
      <x:c r="J76" s="54" t="n">
        <x:v>10</x:v>
      </x:c>
      <x:c r="K76" s="54" t="str">
        <x:v>g</x:v>
      </x:c>
      <x:c r="L76" s="55" t="n">
        <x:f>IFERROR(INDEX('Tổng'!$L$7:$L$113,MATCH(G76,'Tổng'!$A$7:$A$113,0)),0)</x:f>
        <x:v>52.07613738255819</x:v>
      </x:c>
      <x:c r="M76" s="55" t="n">
        <x:f>J76*L76</x:f>
        <x:v>520.7613738255818</x:v>
      </x:c>
      <x:c r="N76" s="55" t="n">
        <x:f>SUMIF($A$7:$A$108,A76,$M$7:$M$108)</x:f>
        <x:v>199800.26018422123</x:v>
      </x:c>
      <x:c r="O76" s="55" t="n">
        <x:f>IF(E76&gt;0,N76/E76,0)</x:f>
        <x:v>199800.26018422123</x:v>
      </x:c>
      <x:c r="P76" s="53" t="str">
        <x:v>2026-06-15 02:36:51</x:v>
      </x:c>
      <x:c r="Q76" s="53" t="str"/>
      <x:c r="R76" s="53" t="str">
        <x:v>bef039e8-e08a-4018-baa8-712fc14cfb96</x:v>
      </x:c>
      <x:c r="S76" s="56" t="str">
        <x:v>c073b531-f388-4767-a932-60b9f5cdd04f</x:v>
      </x:c>
    </x:row>
    <x:row r="77">
      <x:c r="A77" s="52" t="str">
        <x:v>Sườn cọng-thành phẩm</x:v>
      </x:c>
      <x:c r="B77" s="53" t="str">
        <x:v>Có</x:v>
      </x:c>
      <x:c r="C77" s="53" t="str">
        <x:v>T007</x:v>
      </x:c>
      <x:c r="D77" s="53" t="str">
        <x:v>Sườn cọng-thành phẩm</x:v>
      </x:c>
      <x:c r="E77" s="54" t="n">
        <x:v>1</x:v>
      </x:c>
      <x:c r="F77" s="54" t="str">
        <x:v>kg</x:v>
      </x:c>
      <x:c r="G77" s="54" t="str">
        <x:v>GV17</x:v>
      </x:c>
      <x:c r="H77" s="54" t="str">
        <x:v>Hạt nêm Meizan</x:v>
      </x:c>
      <x:c r="I77" s="54" t="str">
        <x:v>Gia vị</x:v>
      </x:c>
      <x:c r="J77" s="54" t="n">
        <x:v>12.399</x:v>
      </x:c>
      <x:c r="K77" s="54" t="str">
        <x:v>g</x:v>
      </x:c>
      <x:c r="L77" s="55" t="n">
        <x:f>IFERROR(INDEX('Tổng'!$L$7:$L$113,MATCH(G77,'Tổng'!$A$7:$A$113,0)),0)</x:f>
        <x:v>40.42488951592553</x:v>
      </x:c>
      <x:c r="M77" s="55" t="n">
        <x:f>J77*L77</x:f>
        <x:v>501.2282051079606</x:v>
      </x:c>
      <x:c r="N77" s="55" t="n">
        <x:f>SUMIF($A$7:$A$108,A77,$M$7:$M$108)</x:f>
        <x:v>199800.26018422123</x:v>
      </x:c>
      <x:c r="O77" s="55" t="n">
        <x:f>IF(E77&gt;0,N77/E77,0)</x:f>
        <x:v>199800.26018422123</x:v>
      </x:c>
      <x:c r="P77" s="53" t="str">
        <x:v>2026-06-15 02:36:51</x:v>
      </x:c>
      <x:c r="Q77" s="53" t="str"/>
      <x:c r="R77" s="53" t="str">
        <x:v>bef039e8-e08a-4018-baa8-712fc14cfb96</x:v>
      </x:c>
      <x:c r="S77" s="56" t="str">
        <x:v>3dd6a1a7-87da-4234-8832-4951b912b415</x:v>
      </x:c>
    </x:row>
    <x:row r="78">
      <x:c r="A78" s="52" t="str">
        <x:v>Sườn cọng-thành phẩm</x:v>
      </x:c>
      <x:c r="B78" s="53" t="str">
        <x:v>Có</x:v>
      </x:c>
      <x:c r="C78" s="53" t="str">
        <x:v>T007</x:v>
      </x:c>
      <x:c r="D78" s="53" t="str">
        <x:v>Sườn cọng-thành phẩm</x:v>
      </x:c>
      <x:c r="E78" s="54" t="n">
        <x:v>1</x:v>
      </x:c>
      <x:c r="F78" s="54" t="str">
        <x:v>kg</x:v>
      </x:c>
      <x:c r="G78" s="54" t="str">
        <x:v>GV04</x:v>
      </x:c>
      <x:c r="H78" s="54" t="str">
        <x:v>Đường cát vàng Mỹ Tho</x:v>
      </x:c>
      <x:c r="I78" s="54" t="str">
        <x:v>Gia vị</x:v>
      </x:c>
      <x:c r="J78" s="54" t="n">
        <x:v>60</x:v>
      </x:c>
      <x:c r="K78" s="54" t="str">
        <x:v>g</x:v>
      </x:c>
      <x:c r="L78" s="55" t="n">
        <x:f>IFERROR(INDEX('Tổng'!$L$7:$L$113,MATCH(G78,'Tổng'!$A$7:$A$113,0)),0)</x:f>
        <x:v>21.667</x:v>
      </x:c>
      <x:c r="M78" s="55" t="n">
        <x:f>J78*L78</x:f>
        <x:v>1300.02</x:v>
      </x:c>
      <x:c r="N78" s="55" t="n">
        <x:f>SUMIF($A$7:$A$108,A78,$M$7:$M$108)</x:f>
        <x:v>199800.26018422123</x:v>
      </x:c>
      <x:c r="O78" s="55" t="n">
        <x:f>IF(E78&gt;0,N78/E78,0)</x:f>
        <x:v>199800.26018422123</x:v>
      </x:c>
      <x:c r="P78" s="53" t="str">
        <x:v>2026-06-15 02:36:51</x:v>
      </x:c>
      <x:c r="Q78" s="53" t="str"/>
      <x:c r="R78" s="53" t="str">
        <x:v>bef039e8-e08a-4018-baa8-712fc14cfb96</x:v>
      </x:c>
      <x:c r="S78" s="56" t="str">
        <x:v>df7a19b8-12ab-4f20-9aca-4d68e94a57be</x:v>
      </x:c>
    </x:row>
    <x:row r="79">
      <x:c r="A79" s="52" t="str">
        <x:v>Sườn cọng-thành phẩm</x:v>
      </x:c>
      <x:c r="B79" s="53" t="str">
        <x:v>Có</x:v>
      </x:c>
      <x:c r="C79" s="53" t="str">
        <x:v>T007</x:v>
      </x:c>
      <x:c r="D79" s="53" t="str">
        <x:v>Sườn cọng-thành phẩm</x:v>
      </x:c>
      <x:c r="E79" s="54" t="n">
        <x:v>1</x:v>
      </x:c>
      <x:c r="F79" s="54" t="str">
        <x:v>kg</x:v>
      </x:c>
      <x:c r="G79" s="54" t="str">
        <x:v>N007</x:v>
      </x:c>
      <x:c r="H79" s="54" t="str">
        <x:v>Coca 2.25</x:v>
      </x:c>
      <x:c r="I79" s="54" t="str">
        <x:v>Nước</x:v>
      </x:c>
      <x:c r="J79" s="54" t="n">
        <x:v>100</x:v>
      </x:c>
      <x:c r="K79" s="54" t="str">
        <x:v>ml</x:v>
      </x:c>
      <x:c r="L79" s="55" t="n">
        <x:f>IFERROR(INDEX('Tổng'!$L$7:$L$113,MATCH(G79,'Tổng'!$A$7:$A$113,0)),0)</x:f>
        <x:v>9.703556</x:v>
      </x:c>
      <x:c r="M79" s="55" t="n">
        <x:f>J79*L79</x:f>
        <x:v>970.3556000000001</x:v>
      </x:c>
      <x:c r="N79" s="55" t="n">
        <x:f>SUMIF($A$7:$A$108,A79,$M$7:$M$108)</x:f>
        <x:v>199800.26018422123</x:v>
      </x:c>
      <x:c r="O79" s="55" t="n">
        <x:f>IF(E79&gt;0,N79/E79,0)</x:f>
        <x:v>199800.26018422123</x:v>
      </x:c>
      <x:c r="P79" s="53" t="str">
        <x:v>2026-06-15 02:36:51</x:v>
      </x:c>
      <x:c r="Q79" s="53" t="str"/>
      <x:c r="R79" s="53" t="str">
        <x:v>bef039e8-e08a-4018-baa8-712fc14cfb96</x:v>
      </x:c>
      <x:c r="S79" s="56" t="str">
        <x:v>019ecae8-cfde-72db-9746-cbbc30938a38</x:v>
      </x:c>
    </x:row>
    <x:row r="80">
      <x:c r="A80" s="52" t="str">
        <x:v>Sườn cọng-thành phẩm</x:v>
      </x:c>
      <x:c r="B80" s="53" t="str">
        <x:v>Có</x:v>
      </x:c>
      <x:c r="C80" s="53" t="str">
        <x:v>T007</x:v>
      </x:c>
      <x:c r="D80" s="53" t="str">
        <x:v>Sườn cọng-thành phẩm</x:v>
      </x:c>
      <x:c r="E80" s="54" t="n">
        <x:v>1</x:v>
      </x:c>
      <x:c r="F80" s="54" t="str">
        <x:v>kg</x:v>
      </x:c>
      <x:c r="G80" s="54" t="str">
        <x:v>RU02</x:v>
      </x:c>
      <x:c r="H80" s="54" t="str">
        <x:v>Rượu Soju</x:v>
      </x:c>
      <x:c r="I80" s="54" t="str">
        <x:v>Rượu</x:v>
      </x:c>
      <x:c r="J80" s="54" t="n">
        <x:v>12</x:v>
      </x:c>
      <x:c r="K80" s="54" t="str">
        <x:v>ml</x:v>
      </x:c>
      <x:c r="L80" s="55" t="n">
        <x:f>IFERROR(INDEX('Tổng'!$L$7:$L$113,MATCH(G80,'Tổng'!$A$7:$A$113,0)),0)</x:f>
        <x:v>125</x:v>
      </x:c>
      <x:c r="M80" s="55" t="n">
        <x:f>J80*L80</x:f>
        <x:v>1500</x:v>
      </x:c>
      <x:c r="N80" s="55" t="n">
        <x:f>SUMIF($A$7:$A$108,A80,$M$7:$M$108)</x:f>
        <x:v>199800.26018422123</x:v>
      </x:c>
      <x:c r="O80" s="55" t="n">
        <x:f>IF(E80&gt;0,N80/E80,0)</x:f>
        <x:v>199800.26018422123</x:v>
      </x:c>
      <x:c r="P80" s="53" t="str">
        <x:v>2026-06-15 02:36:51</x:v>
      </x:c>
      <x:c r="Q80" s="53" t="str"/>
      <x:c r="R80" s="53" t="str">
        <x:v>bef039e8-e08a-4018-baa8-712fc14cfb96</x:v>
      </x:c>
      <x:c r="S80" s="56" t="str">
        <x:v>64ddf3da-1fc2-494c-9463-7ea155d52106</x:v>
      </x:c>
    </x:row>
    <x:row r="81">
      <x:c r="A81" s="52" t="str">
        <x:v>Sườn cốt lết-thành phẩm</x:v>
      </x:c>
      <x:c r="B81" s="53" t="str">
        <x:v>Có</x:v>
      </x:c>
      <x:c r="C81" s="53" t="str">
        <x:v>T006</x:v>
      </x:c>
      <x:c r="D81" s="53" t="str">
        <x:v>Thịt cốt lết-thành phẩm</x:v>
      </x:c>
      <x:c r="E81" s="54" t="n">
        <x:v>1</x:v>
      </x:c>
      <x:c r="F81" s="54" t="str">
        <x:v>kg</x:v>
      </x:c>
      <x:c r="G81" s="54" t="str">
        <x:v>D002</x:v>
      </x:c>
      <x:c r="H81" s="54" t="str">
        <x:v>Dầu điều VN Food</x:v>
      </x:c>
      <x:c r="I81" s="54" t="str">
        <x:v>Dầu</x:v>
      </x:c>
      <x:c r="J81" s="54" t="n">
        <x:v>20</x:v>
      </x:c>
      <x:c r="K81" s="54" t="str">
        <x:v>ml</x:v>
      </x:c>
      <x:c r="L81" s="55" t="n">
        <x:f>IFERROR(INDEX('Tổng'!$L$7:$L$113,MATCH(G81,'Tổng'!$A$7:$A$113,0)),0)</x:f>
        <x:v>78.332</x:v>
      </x:c>
      <x:c r="M81" s="55" t="n">
        <x:f>J81*L81</x:f>
        <x:v>1566.6399999999999</x:v>
      </x:c>
      <x:c r="N81" s="55" t="n">
        <x:f>SUMIF($A$7:$A$108,A81,$M$7:$M$108)</x:f>
        <x:v>134800.35660911072</x:v>
      </x:c>
      <x:c r="O81" s="55" t="n">
        <x:f>IF(E81&gt;0,N81/E81,0)</x:f>
        <x:v>134800.35660911072</x:v>
      </x:c>
      <x:c r="P81" s="53" t="str">
        <x:v>2026-06-23 04:14:38</x:v>
      </x:c>
      <x:c r="Q81" s="53" t="str"/>
      <x:c r="R81" s="53" t="str">
        <x:v>ef78a46e-bc18-447b-9f44-36f2b0d57879</x:v>
      </x:c>
      <x:c r="S81" s="56" t="str">
        <x:v>2a953742-e1b1-478f-95df-6949ed84bb01</x:v>
      </x:c>
    </x:row>
    <x:row r="82">
      <x:c r="A82" s="52" t="str">
        <x:v>Sườn cốt lết-thành phẩm</x:v>
      </x:c>
      <x:c r="B82" s="53" t="str">
        <x:v>Có</x:v>
      </x:c>
      <x:c r="C82" s="53" t="str">
        <x:v>T006</x:v>
      </x:c>
      <x:c r="D82" s="53" t="str">
        <x:v>Thịt cốt lết-thành phẩm</x:v>
      </x:c>
      <x:c r="E82" s="54" t="n">
        <x:v>1</x:v>
      </x:c>
      <x:c r="F82" s="54" t="str">
        <x:v>kg</x:v>
      </x:c>
      <x:c r="G82" s="54" t="str">
        <x:v>T001</x:v>
      </x:c>
      <x:c r="H82" s="54" t="str">
        <x:v>Thịt cốt lết-tươi</x:v>
      </x:c>
      <x:c r="I82" s="54" t="str">
        <x:v>Thịt</x:v>
      </x:c>
      <x:c r="J82" s="54" t="n">
        <x:v>1</x:v>
      </x:c>
      <x:c r="K82" s="54" t="str">
        <x:v>kg</x:v>
      </x:c>
      <x:c r="L82" s="55" t="n">
        <x:f>IFERROR(INDEX('Tổng'!$L$7:$L$113,MATCH(G82,'Tổng'!$A$7:$A$113,0)),0)</x:f>
        <x:v>115000</x:v>
      </x:c>
      <x:c r="M82" s="55" t="n">
        <x:f>J82*L82</x:f>
        <x:v>115000</x:v>
      </x:c>
      <x:c r="N82" s="55" t="n">
        <x:f>SUMIF($A$7:$A$108,A82,$M$7:$M$108)</x:f>
        <x:v>134800.35660911072</x:v>
      </x:c>
      <x:c r="O82" s="55" t="n">
        <x:f>IF(E82&gt;0,N82/E82,0)</x:f>
        <x:v>134800.35660911072</x:v>
      </x:c>
      <x:c r="P82" s="53" t="str">
        <x:v>2026-06-23 04:14:38</x:v>
      </x:c>
      <x:c r="Q82" s="53" t="str"/>
      <x:c r="R82" s="53" t="str">
        <x:v>ef78a46e-bc18-447b-9f44-36f2b0d57879</x:v>
      </x:c>
      <x:c r="S82" s="56" t="str">
        <x:v>5ba1ab08-02e7-46e7-9596-8365e3b40ea4</x:v>
      </x:c>
    </x:row>
    <x:row r="83">
      <x:c r="A83" s="52" t="str">
        <x:v>Sườn cốt lết-thành phẩm</x:v>
      </x:c>
      <x:c r="B83" s="53" t="str">
        <x:v>Có</x:v>
      </x:c>
      <x:c r="C83" s="53" t="str">
        <x:v>T006</x:v>
      </x:c>
      <x:c r="D83" s="53" t="str">
        <x:v>Thịt cốt lết-thành phẩm</x:v>
      </x:c>
      <x:c r="E83" s="54" t="n">
        <x:v>1</x:v>
      </x:c>
      <x:c r="F83" s="54" t="str">
        <x:v>kg</x:v>
      </x:c>
      <x:c r="G83" s="54" t="str">
        <x:v>GV01</x:v>
      </x:c>
      <x:c r="H83" s="54" t="str">
        <x:v>Sữa đặc Tài Lộc</x:v>
      </x:c>
      <x:c r="I83" s="54" t="str">
        <x:v>Nguyên liệu</x:v>
      </x:c>
      <x:c r="J83" s="54" t="n">
        <x:v>40</x:v>
      </x:c>
      <x:c r="K83" s="54" t="str">
        <x:v>g</x:v>
      </x:c>
      <x:c r="L83" s="55" t="n">
        <x:f>IFERROR(INDEX('Tổng'!$L$7:$L$113,MATCH(G83,'Tổng'!$A$7:$A$113,0)),0)</x:f>
        <x:v>35.695483</x:v>
      </x:c>
      <x:c r="M83" s="55" t="n">
        <x:f>J83*L83</x:f>
        <x:v>1427.81932</x:v>
      </x:c>
      <x:c r="N83" s="55" t="n">
        <x:f>SUMIF($A$7:$A$108,A83,$M$7:$M$108)</x:f>
        <x:v>134800.35660911072</x:v>
      </x:c>
      <x:c r="O83" s="55" t="n">
        <x:f>IF(E83&gt;0,N83/E83,0)</x:f>
        <x:v>134800.35660911072</x:v>
      </x:c>
      <x:c r="P83" s="53" t="str">
        <x:v>2026-06-23 04:14:38</x:v>
      </x:c>
      <x:c r="Q83" s="53" t="str"/>
      <x:c r="R83" s="53" t="str">
        <x:v>ef78a46e-bc18-447b-9f44-36f2b0d57879</x:v>
      </x:c>
      <x:c r="S83" s="56" t="str">
        <x:v>50313214-5f8c-4b92-b13d-d2e1bd2d5410</x:v>
      </x:c>
    </x:row>
    <x:row r="84">
      <x:c r="A84" s="52" t="str">
        <x:v>Sườn cốt lết-thành phẩm</x:v>
      </x:c>
      <x:c r="B84" s="53" t="str">
        <x:v>Có</x:v>
      </x:c>
      <x:c r="C84" s="53" t="str">
        <x:v>T006</x:v>
      </x:c>
      <x:c r="D84" s="53" t="str">
        <x:v>Thịt cốt lết-thành phẩm</x:v>
      </x:c>
      <x:c r="E84" s="54" t="n">
        <x:v>1</x:v>
      </x:c>
      <x:c r="F84" s="54" t="str">
        <x:v>kg</x:v>
      </x:c>
      <x:c r="G84" s="54" t="str">
        <x:v>GV02</x:v>
      </x:c>
      <x:c r="H84" s="54" t="str">
        <x:v>Mật ong Tây Bắc</x:v>
      </x:c>
      <x:c r="I84" s="54" t="str">
        <x:v>Nguyên liệu</x:v>
      </x:c>
      <x:c r="J84" s="54" t="n">
        <x:v>40</x:v>
      </x:c>
      <x:c r="K84" s="54" t="str">
        <x:v>ml</x:v>
      </x:c>
      <x:c r="L84" s="55" t="n">
        <x:f>IFERROR(INDEX('Tổng'!$L$7:$L$113,MATCH(G84,'Tổng'!$A$7:$A$113,0)),0)</x:f>
        <x:v>76.923077</x:v>
      </x:c>
      <x:c r="M84" s="55" t="n">
        <x:f>J84*L84</x:f>
        <x:v>3076.9230800000005</x:v>
      </x:c>
      <x:c r="N84" s="55" t="n">
        <x:f>SUMIF($A$7:$A$108,A84,$M$7:$M$108)</x:f>
        <x:v>134800.35660911072</x:v>
      </x:c>
      <x:c r="O84" s="55" t="n">
        <x:f>IF(E84&gt;0,N84/E84,0)</x:f>
        <x:v>134800.35660911072</x:v>
      </x:c>
      <x:c r="P84" s="53" t="str">
        <x:v>2026-06-23 04:14:38</x:v>
      </x:c>
      <x:c r="Q84" s="53" t="str"/>
      <x:c r="R84" s="53" t="str">
        <x:v>ef78a46e-bc18-447b-9f44-36f2b0d57879</x:v>
      </x:c>
      <x:c r="S84" s="56" t="str">
        <x:v>530e5d53-cc77-4bdb-8b9d-982185c7b365</x:v>
      </x:c>
    </x:row>
    <x:row r="85">
      <x:c r="A85" s="52" t="str">
        <x:v>Sườn cốt lết-thành phẩm</x:v>
      </x:c>
      <x:c r="B85" s="53" t="str">
        <x:v>Có</x:v>
      </x:c>
      <x:c r="C85" s="53" t="str">
        <x:v>T006</x:v>
      </x:c>
      <x:c r="D85" s="53" t="str">
        <x:v>Thịt cốt lết-thành phẩm</x:v>
      </x:c>
      <x:c r="E85" s="54" t="n">
        <x:v>1</x:v>
      </x:c>
      <x:c r="F85" s="54" t="str">
        <x:v>kg</x:v>
      </x:c>
      <x:c r="G85" s="54" t="str">
        <x:v>GV07</x:v>
      </x:c>
      <x:c r="H85" s="54" t="str">
        <x:v>Tương ớt Cholimex</x:v>
      </x:c>
      <x:c r="I85" s="54" t="str">
        <x:v>Nguyên liệu</x:v>
      </x:c>
      <x:c r="J85" s="54" t="n">
        <x:v>20</x:v>
      </x:c>
      <x:c r="K85" s="54" t="str">
        <x:v>g</x:v>
      </x:c>
      <x:c r="L85" s="55" t="n">
        <x:f>IFERROR(INDEX('Tổng'!$L$7:$L$113,MATCH(G85,'Tổng'!$A$7:$A$113,0)),0)</x:f>
        <x:v>28.000000000000004</x:v>
      </x:c>
      <x:c r="M85" s="55" t="n">
        <x:f>J85*L85</x:f>
        <x:v>560.0000000000001</x:v>
      </x:c>
      <x:c r="N85" s="55" t="n">
        <x:f>SUMIF($A$7:$A$108,A85,$M$7:$M$108)</x:f>
        <x:v>134800.35660911072</x:v>
      </x:c>
      <x:c r="O85" s="55" t="n">
        <x:f>IF(E85&gt;0,N85/E85,0)</x:f>
        <x:v>134800.35660911072</x:v>
      </x:c>
      <x:c r="P85" s="53" t="str">
        <x:v>2026-06-23 04:14:38</x:v>
      </x:c>
      <x:c r="Q85" s="53" t="str"/>
      <x:c r="R85" s="53" t="str">
        <x:v>ef78a46e-bc18-447b-9f44-36f2b0d57879</x:v>
      </x:c>
      <x:c r="S85" s="56" t="str">
        <x:v>074a2dc0-6d3d-4849-92e1-3e7b5e35e83e</x:v>
      </x:c>
    </x:row>
    <x:row r="86">
      <x:c r="A86" s="52" t="str">
        <x:v>Sườn cốt lết-thành phẩm</x:v>
      </x:c>
      <x:c r="B86" s="53" t="str">
        <x:v>Có</x:v>
      </x:c>
      <x:c r="C86" s="53" t="str">
        <x:v>T006</x:v>
      </x:c>
      <x:c r="D86" s="53" t="str">
        <x:v>Thịt cốt lết-thành phẩm</x:v>
      </x:c>
      <x:c r="E86" s="54" t="n">
        <x:v>1</x:v>
      </x:c>
      <x:c r="F86" s="54" t="str">
        <x:v>kg</x:v>
      </x:c>
      <x:c r="G86" s="54" t="str">
        <x:v>GV08</x:v>
      </x:c>
      <x:c r="H86" s="54" t="str">
        <x:v>Nước tương Lee Kum Kee</x:v>
      </x:c>
      <x:c r="I86" s="54" t="str">
        <x:v>Gia vị</x:v>
      </x:c>
      <x:c r="J86" s="54" t="n">
        <x:v>30</x:v>
      </x:c>
      <x:c r="K86" s="54" t="str">
        <x:v>ml</x:v>
      </x:c>
      <x:c r="L86" s="55" t="n">
        <x:f>IFERROR(INDEX('Tổng'!$L$7:$L$113,MATCH(G86,'Tổng'!$A$7:$A$113,0)),0)</x:f>
        <x:v>96.666</x:v>
      </x:c>
      <x:c r="M86" s="55" t="n">
        <x:f>J86*L86</x:f>
        <x:v>2899.98</x:v>
      </x:c>
      <x:c r="N86" s="55" t="n">
        <x:f>SUMIF($A$7:$A$108,A86,$M$7:$M$108)</x:f>
        <x:v>134800.35660911072</x:v>
      </x:c>
      <x:c r="O86" s="55" t="n">
        <x:f>IF(E86&gt;0,N86/E86,0)</x:f>
        <x:v>134800.35660911072</x:v>
      </x:c>
      <x:c r="P86" s="53" t="str">
        <x:v>2026-06-23 04:14:38</x:v>
      </x:c>
      <x:c r="Q86" s="53" t="str"/>
      <x:c r="R86" s="53" t="str">
        <x:v>ef78a46e-bc18-447b-9f44-36f2b0d57879</x:v>
      </x:c>
      <x:c r="S86" s="56" t="str">
        <x:v>db623502-de5c-4c28-a12b-f11f2c25691d</x:v>
      </x:c>
    </x:row>
    <x:row r="87">
      <x:c r="A87" s="52" t="str">
        <x:v>Sườn cốt lết-thành phẩm</x:v>
      </x:c>
      <x:c r="B87" s="53" t="str">
        <x:v>Có</x:v>
      </x:c>
      <x:c r="C87" s="53" t="str">
        <x:v>T006</x:v>
      </x:c>
      <x:c r="D87" s="53" t="str">
        <x:v>Thịt cốt lết-thành phẩm</x:v>
      </x:c>
      <x:c r="E87" s="54" t="n">
        <x:v>1</x:v>
      </x:c>
      <x:c r="F87" s="54" t="str">
        <x:v>kg</x:v>
      </x:c>
      <x:c r="G87" s="54" t="str">
        <x:v>GV09</x:v>
      </x:c>
      <x:c r="H87" s="54" t="str">
        <x:v>Dầu hào Lee Kum Kee</x:v>
      </x:c>
      <x:c r="I87" s="54" t="str">
        <x:v>Dầu</x:v>
      </x:c>
      <x:c r="J87" s="54" t="n">
        <x:v>20</x:v>
      </x:c>
      <x:c r="K87" s="54" t="str">
        <x:v>g</x:v>
      </x:c>
      <x:c r="L87" s="55" t="n">
        <x:f>IFERROR(INDEX('Tổng'!$L$7:$L$113,MATCH(G87,'Tổng'!$A$7:$A$113,0)),0)</x:f>
        <x:v>62.09215700000001</x:v>
      </x:c>
      <x:c r="M87" s="55" t="n">
        <x:f>J87*L87</x:f>
        <x:v>1241.8431400000002</x:v>
      </x:c>
      <x:c r="N87" s="55" t="n">
        <x:f>SUMIF($A$7:$A$108,A87,$M$7:$M$108)</x:f>
        <x:v>134800.35660911072</x:v>
      </x:c>
      <x:c r="O87" s="55" t="n">
        <x:f>IF(E87&gt;0,N87/E87,0)</x:f>
        <x:v>134800.35660911072</x:v>
      </x:c>
      <x:c r="P87" s="53" t="str">
        <x:v>2026-06-23 04:14:38</x:v>
      </x:c>
      <x:c r="Q87" s="53" t="str"/>
      <x:c r="R87" s="53" t="str">
        <x:v>ef78a46e-bc18-447b-9f44-36f2b0d57879</x:v>
      </x:c>
      <x:c r="S87" s="56" t="str">
        <x:v>48ad2b24-cf16-4a2f-912a-654c48e1d56b</x:v>
      </x:c>
    </x:row>
    <x:row r="88">
      <x:c r="A88" s="52" t="str">
        <x:v>Sườn cốt lết-thành phẩm</x:v>
      </x:c>
      <x:c r="B88" s="53" t="str">
        <x:v>Có</x:v>
      </x:c>
      <x:c r="C88" s="53" t="str">
        <x:v>T006</x:v>
      </x:c>
      <x:c r="D88" s="53" t="str">
        <x:v>Thịt cốt lết-thành phẩm</x:v>
      </x:c>
      <x:c r="E88" s="54" t="n">
        <x:v>1</x:v>
      </x:c>
      <x:c r="F88" s="54" t="str">
        <x:v>kg</x:v>
      </x:c>
      <x:c r="G88" s="54" t="str">
        <x:v>NM50</x:v>
      </x:c>
      <x:c r="H88" s="54" t="str">
        <x:v>Nước mắm Hạnh Phúc 50</x:v>
      </x:c>
      <x:c r="I88" s="54" t="str">
        <x:v>Gia vị</x:v>
      </x:c>
      <x:c r="J88" s="54" t="n">
        <x:v>10</x:v>
      </x:c>
      <x:c r="K88" s="54" t="str">
        <x:v>ml</x:v>
      </x:c>
      <x:c r="L88" s="55" t="n">
        <x:f>IFERROR(INDEX('Tổng'!$L$7:$L$113,MATCH(G88,'Tổng'!$A$7:$A$113,0)),0)</x:f>
        <x:v>234.03799999999998</x:v>
      </x:c>
      <x:c r="M88" s="55" t="n">
        <x:f>J88*L88</x:f>
        <x:v>2340.3799999999997</x:v>
      </x:c>
      <x:c r="N88" s="55" t="n">
        <x:f>SUMIF($A$7:$A$108,A88,$M$7:$M$108)</x:f>
        <x:v>134800.35660911072</x:v>
      </x:c>
      <x:c r="O88" s="55" t="n">
        <x:f>IF(E88&gt;0,N88/E88,0)</x:f>
        <x:v>134800.35660911072</x:v>
      </x:c>
      <x:c r="P88" s="53" t="str">
        <x:v>2026-06-23 04:14:38</x:v>
      </x:c>
      <x:c r="Q88" s="53" t="str"/>
      <x:c r="R88" s="53" t="str">
        <x:v>ef78a46e-bc18-447b-9f44-36f2b0d57879</x:v>
      </x:c>
      <x:c r="S88" s="56" t="str">
        <x:v>d2923357-be91-4b31-b6e2-0969ce591ce4</x:v>
      </x:c>
    </x:row>
    <x:row r="89">
      <x:c r="A89" s="52" t="str">
        <x:v>Sườn cốt lết-thành phẩm</x:v>
      </x:c>
      <x:c r="B89" s="53" t="str">
        <x:v>Có</x:v>
      </x:c>
      <x:c r="C89" s="53" t="str">
        <x:v>T006</x:v>
      </x:c>
      <x:c r="D89" s="53" t="str">
        <x:v>Thịt cốt lết-thành phẩm</x:v>
      </x:c>
      <x:c r="E89" s="54" t="n">
        <x:v>1</x:v>
      </x:c>
      <x:c r="F89" s="54" t="str">
        <x:v>kg</x:v>
      </x:c>
      <x:c r="G89" s="54" t="str">
        <x:v>RU02</x:v>
      </x:c>
      <x:c r="H89" s="54" t="str">
        <x:v>Rượu Soju</x:v>
      </x:c>
      <x:c r="I89" s="54" t="str">
        <x:v>Rượu</x:v>
      </x:c>
      <x:c r="J89" s="54" t="n">
        <x:v>12</x:v>
      </x:c>
      <x:c r="K89" s="54" t="str">
        <x:v>ml</x:v>
      </x:c>
      <x:c r="L89" s="55" t="n">
        <x:f>IFERROR(INDEX('Tổng'!$L$7:$L$113,MATCH(G89,'Tổng'!$A$7:$A$113,0)),0)</x:f>
        <x:v>125</x:v>
      </x:c>
      <x:c r="M89" s="55" t="n">
        <x:f>J89*L89</x:f>
        <x:v>1500</x:v>
      </x:c>
      <x:c r="N89" s="55" t="n">
        <x:f>SUMIF($A$7:$A$108,A89,$M$7:$M$108)</x:f>
        <x:v>134800.35660911072</x:v>
      </x:c>
      <x:c r="O89" s="55" t="n">
        <x:f>IF(E89&gt;0,N89/E89,0)</x:f>
        <x:v>134800.35660911072</x:v>
      </x:c>
      <x:c r="P89" s="53" t="str">
        <x:v>2026-06-23 04:14:38</x:v>
      </x:c>
      <x:c r="Q89" s="53" t="str"/>
      <x:c r="R89" s="53" t="str">
        <x:v>ef78a46e-bc18-447b-9f44-36f2b0d57879</x:v>
      </x:c>
      <x:c r="S89" s="56" t="str">
        <x:v>64ddf3da-1fc2-494c-9463-7ea155d52106</x:v>
      </x:c>
    </x:row>
    <x:row r="90">
      <x:c r="A90" s="52" t="str">
        <x:v>Sườn cốt lết-thành phẩm</x:v>
      </x:c>
      <x:c r="B90" s="53" t="str">
        <x:v>Có</x:v>
      </x:c>
      <x:c r="C90" s="53" t="str">
        <x:v>T006</x:v>
      </x:c>
      <x:c r="D90" s="53" t="str">
        <x:v>Thịt cốt lết-thành phẩm</x:v>
      </x:c>
      <x:c r="E90" s="54" t="n">
        <x:v>1</x:v>
      </x:c>
      <x:c r="F90" s="54" t="str">
        <x:v>kg</x:v>
      </x:c>
      <x:c r="G90" s="54" t="str">
        <x:v>N007</x:v>
      </x:c>
      <x:c r="H90" s="54" t="str">
        <x:v>Coca 2.25</x:v>
      </x:c>
      <x:c r="I90" s="54" t="str">
        <x:v>Nước</x:v>
      </x:c>
      <x:c r="J90" s="54" t="n">
        <x:v>100</x:v>
      </x:c>
      <x:c r="K90" s="54" t="str">
        <x:v>ml</x:v>
      </x:c>
      <x:c r="L90" s="55" t="n">
        <x:f>IFERROR(INDEX('Tổng'!$L$7:$L$113,MATCH(G90,'Tổng'!$A$7:$A$113,0)),0)</x:f>
        <x:v>9.703556</x:v>
      </x:c>
      <x:c r="M90" s="55" t="n">
        <x:f>J90*L90</x:f>
        <x:v>970.3556000000001</x:v>
      </x:c>
      <x:c r="N90" s="55" t="n">
        <x:f>SUMIF($A$7:$A$108,A90,$M$7:$M$108)</x:f>
        <x:v>134800.35660911072</x:v>
      </x:c>
      <x:c r="O90" s="55" t="n">
        <x:f>IF(E90&gt;0,N90/E90,0)</x:f>
        <x:v>134800.35660911072</x:v>
      </x:c>
      <x:c r="P90" s="53" t="str">
        <x:v>2026-06-23 04:14:38</x:v>
      </x:c>
      <x:c r="Q90" s="53" t="str"/>
      <x:c r="R90" s="53" t="str">
        <x:v>ef78a46e-bc18-447b-9f44-36f2b0d57879</x:v>
      </x:c>
      <x:c r="S90" s="56" t="str">
        <x:v>019ecae8-cfde-72db-9746-cbbc30938a38</x:v>
      </x:c>
    </x:row>
    <x:row r="91">
      <x:c r="A91" s="52" t="str">
        <x:v>Sườn cốt lết-thành phẩm</x:v>
      </x:c>
      <x:c r="B91" s="53" t="str">
        <x:v>Có</x:v>
      </x:c>
      <x:c r="C91" s="53" t="str">
        <x:v>T006</x:v>
      </x:c>
      <x:c r="D91" s="53" t="str">
        <x:v>Thịt cốt lết-thành phẩm</x:v>
      </x:c>
      <x:c r="E91" s="54" t="n">
        <x:v>1</x:v>
      </x:c>
      <x:c r="F91" s="54" t="str">
        <x:v>kg</x:v>
      </x:c>
      <x:c r="G91" s="54" t="str">
        <x:v>GV04</x:v>
      </x:c>
      <x:c r="H91" s="54" t="str">
        <x:v>Đường cát vàng Mỹ Tho</x:v>
      </x:c>
      <x:c r="I91" s="54" t="str">
        <x:v>Gia vị</x:v>
      </x:c>
      <x:c r="J91" s="54" t="n">
        <x:v>60</x:v>
      </x:c>
      <x:c r="K91" s="54" t="str">
        <x:v>g</x:v>
      </x:c>
      <x:c r="L91" s="55" t="n">
        <x:f>IFERROR(INDEX('Tổng'!$L$7:$L$113,MATCH(G91,'Tổng'!$A$7:$A$113,0)),0)</x:f>
        <x:v>21.667</x:v>
      </x:c>
      <x:c r="M91" s="55" t="n">
        <x:f>J91*L91</x:f>
        <x:v>1300.02</x:v>
      </x:c>
      <x:c r="N91" s="55" t="n">
        <x:f>SUMIF($A$7:$A$108,A91,$M$7:$M$108)</x:f>
        <x:v>134800.35660911072</x:v>
      </x:c>
      <x:c r="O91" s="55" t="n">
        <x:f>IF(E91&gt;0,N91/E91,0)</x:f>
        <x:v>134800.35660911072</x:v>
      </x:c>
      <x:c r="P91" s="53" t="str">
        <x:v>2026-06-23 04:14:38</x:v>
      </x:c>
      <x:c r="Q91" s="53" t="str"/>
      <x:c r="R91" s="53" t="str">
        <x:v>ef78a46e-bc18-447b-9f44-36f2b0d57879</x:v>
      </x:c>
      <x:c r="S91" s="56" t="str">
        <x:v>df7a19b8-12ab-4f20-9aca-4d68e94a57be</x:v>
      </x:c>
    </x:row>
    <x:row r="92">
      <x:c r="A92" s="52" t="str">
        <x:v>Sườn cốt lết-thành phẩm</x:v>
      </x:c>
      <x:c r="B92" s="53" t="str">
        <x:v>Có</x:v>
      </x:c>
      <x:c r="C92" s="53" t="str">
        <x:v>T006</x:v>
      </x:c>
      <x:c r="D92" s="53" t="str">
        <x:v>Thịt cốt lết-thành phẩm</x:v>
      </x:c>
      <x:c r="E92" s="54" t="n">
        <x:v>1</x:v>
      </x:c>
      <x:c r="F92" s="54" t="str">
        <x:v>kg</x:v>
      </x:c>
      <x:c r="G92" s="54" t="str">
        <x:v>GV17</x:v>
      </x:c>
      <x:c r="H92" s="54" t="str">
        <x:v>Hạt nêm Meizan</x:v>
      </x:c>
      <x:c r="I92" s="54" t="str">
        <x:v>Gia vị</x:v>
      </x:c>
      <x:c r="J92" s="54" t="n">
        <x:v>12.4</x:v>
      </x:c>
      <x:c r="K92" s="54" t="str">
        <x:v>g</x:v>
      </x:c>
      <x:c r="L92" s="55" t="n">
        <x:f>IFERROR(INDEX('Tổng'!$L$7:$L$113,MATCH(G92,'Tổng'!$A$7:$A$113,0)),0)</x:f>
        <x:v>40.42488951592553</x:v>
      </x:c>
      <x:c r="M92" s="55" t="n">
        <x:f>J92*L92</x:f>
        <x:v>501.2686299974766</x:v>
      </x:c>
      <x:c r="N92" s="55" t="n">
        <x:f>SUMIF($A$7:$A$108,A92,$M$7:$M$108)</x:f>
        <x:v>134800.35660911072</x:v>
      </x:c>
      <x:c r="O92" s="55" t="n">
        <x:f>IF(E92&gt;0,N92/E92,0)</x:f>
        <x:v>134800.35660911072</x:v>
      </x:c>
      <x:c r="P92" s="53" t="str">
        <x:v>2026-06-23 04:14:38</x:v>
      </x:c>
      <x:c r="Q92" s="53" t="str"/>
      <x:c r="R92" s="53" t="str">
        <x:v>ef78a46e-bc18-447b-9f44-36f2b0d57879</x:v>
      </x:c>
      <x:c r="S92" s="56" t="str">
        <x:v>3dd6a1a7-87da-4234-8832-4951b912b415</x:v>
      </x:c>
    </x:row>
    <x:row r="93">
      <x:c r="A93" s="52" t="str">
        <x:v>Sườn cốt lết-thành phẩm</x:v>
      </x:c>
      <x:c r="B93" s="53" t="str">
        <x:v>Có</x:v>
      </x:c>
      <x:c r="C93" s="53" t="str">
        <x:v>T006</x:v>
      </x:c>
      <x:c r="D93" s="53" t="str">
        <x:v>Thịt cốt lết-thành phẩm</x:v>
      </x:c>
      <x:c r="E93" s="54" t="n">
        <x:v>1</x:v>
      </x:c>
      <x:c r="F93" s="54" t="str">
        <x:v>kg</x:v>
      </x:c>
      <x:c r="G93" s="54" t="str">
        <x:v>GV11</x:v>
      </x:c>
      <x:c r="H93" s="54" t="str">
        <x:v>Bột ngọt Ajinomoto</x:v>
      </x:c>
      <x:c r="I93" s="54" t="str">
        <x:v>Gia vị</x:v>
      </x:c>
      <x:c r="J93" s="54" t="n">
        <x:v>10</x:v>
      </x:c>
      <x:c r="K93" s="54" t="str">
        <x:v>g</x:v>
      </x:c>
      <x:c r="L93" s="55" t="n">
        <x:f>IFERROR(INDEX('Tổng'!$L$7:$L$113,MATCH(G93,'Tổng'!$A$7:$A$113,0)),0)</x:f>
        <x:v>52.07613738255819</x:v>
      </x:c>
      <x:c r="M93" s="55" t="n">
        <x:f>J93*L93</x:f>
        <x:v>520.7613738255818</x:v>
      </x:c>
      <x:c r="N93" s="55" t="n">
        <x:f>SUMIF($A$7:$A$108,A93,$M$7:$M$108)</x:f>
        <x:v>134800.35660911072</x:v>
      </x:c>
      <x:c r="O93" s="55" t="n">
        <x:f>IF(E93&gt;0,N93/E93,0)</x:f>
        <x:v>134800.35660911072</x:v>
      </x:c>
      <x:c r="P93" s="53" t="str">
        <x:v>2026-06-23 04:14:38</x:v>
      </x:c>
      <x:c r="Q93" s="53" t="str"/>
      <x:c r="R93" s="53" t="str">
        <x:v>ef78a46e-bc18-447b-9f44-36f2b0d57879</x:v>
      </x:c>
      <x:c r="S93" s="56" t="str">
        <x:v>c073b531-f388-4767-a932-60b9f5cdd04f</x:v>
      </x:c>
    </x:row>
    <x:row r="94">
      <x:c r="A94" s="52" t="str">
        <x:v>Sườn cốt lết-thành phẩm</x:v>
      </x:c>
      <x:c r="B94" s="53" t="str">
        <x:v>Có</x:v>
      </x:c>
      <x:c r="C94" s="53" t="str">
        <x:v>T006</x:v>
      </x:c>
      <x:c r="D94" s="53" t="str">
        <x:v>Thịt cốt lết-thành phẩm</x:v>
      </x:c>
      <x:c r="E94" s="54" t="n">
        <x:v>1</x:v>
      </x:c>
      <x:c r="F94" s="54" t="str">
        <x:v>kg</x:v>
      </x:c>
      <x:c r="G94" s="54" t="str">
        <x:v>GV12</x:v>
      </x:c>
      <x:c r="H94" s="54" t="str">
        <x:v>Baking soda</x:v>
      </x:c>
      <x:c r="I94" s="54" t="str">
        <x:v>Gia vị</x:v>
      </x:c>
      <x:c r="J94" s="54" t="n">
        <x:v>2.5</x:v>
      </x:c>
      <x:c r="K94" s="54" t="str">
        <x:v>g</x:v>
      </x:c>
      <x:c r="L94" s="55" t="n">
        <x:f>IFERROR(INDEX('Tổng'!$L$7:$L$113,MATCH(G94,'Tổng'!$A$7:$A$113,0)),0)</x:f>
        <x:v>66.079295</x:v>
      </x:c>
      <x:c r="M94" s="55" t="n">
        <x:f>J94*L94</x:f>
        <x:v>165.1982375</x:v>
      </x:c>
      <x:c r="N94" s="55" t="n">
        <x:f>SUMIF($A$7:$A$108,A94,$M$7:$M$108)</x:f>
        <x:v>134800.35660911072</x:v>
      </x:c>
      <x:c r="O94" s="55" t="n">
        <x:f>IF(E94&gt;0,N94/E94,0)</x:f>
        <x:v>134800.35660911072</x:v>
      </x:c>
      <x:c r="P94" s="53" t="str">
        <x:v>2026-06-23 04:14:38</x:v>
      </x:c>
      <x:c r="Q94" s="53" t="str"/>
      <x:c r="R94" s="53" t="str">
        <x:v>ef78a46e-bc18-447b-9f44-36f2b0d57879</x:v>
      </x:c>
      <x:c r="S94" s="56" t="str">
        <x:v>6770d2fc-d58d-4cfc-8c19-6fa3da09e47c</x:v>
      </x:c>
    </x:row>
    <x:row r="95">
      <x:c r="A95" s="52" t="str">
        <x:v>Sườn cốt lết-thành phẩm</x:v>
      </x:c>
      <x:c r="B95" s="53" t="str">
        <x:v>Có</x:v>
      </x:c>
      <x:c r="C95" s="53" t="str">
        <x:v>T006</x:v>
      </x:c>
      <x:c r="D95" s="53" t="str">
        <x:v>Thịt cốt lết-thành phẩm</x:v>
      </x:c>
      <x:c r="E95" s="54" t="n">
        <x:v>1</x:v>
      </x:c>
      <x:c r="F95" s="54" t="str">
        <x:v>kg</x:v>
      </x:c>
      <x:c r="G95" s="54" t="str">
        <x:v>R001</x:v>
      </x:c>
      <x:c r="H95" s="54" t="str">
        <x:v>Hành tím</x:v>
      </x:c>
      <x:c r="I95" s="54" t="str">
        <x:v>Rau, củ</x:v>
      </x:c>
      <x:c r="J95" s="54" t="n">
        <x:v>40</x:v>
      </x:c>
      <x:c r="K95" s="54" t="str">
        <x:v>g</x:v>
      </x:c>
      <x:c r="L95" s="55" t="n">
        <x:f>IFERROR(INDEX('Tổng'!$L$7:$L$113,MATCH(G95,'Tổng'!$A$7:$A$113,0)),0)</x:f>
        <x:v>17</x:v>
      </x:c>
      <x:c r="M95" s="55" t="n">
        <x:f>J95*L95</x:f>
        <x:v>680</x:v>
      </x:c>
      <x:c r="N95" s="55" t="n">
        <x:f>SUMIF($A$7:$A$108,A95,$M$7:$M$108)</x:f>
        <x:v>134800.35660911072</x:v>
      </x:c>
      <x:c r="O95" s="55" t="n">
        <x:f>IF(E95&gt;0,N95/E95,0)</x:f>
        <x:v>134800.35660911072</x:v>
      </x:c>
      <x:c r="P95" s="53" t="str">
        <x:v>2026-06-23 04:14:38</x:v>
      </x:c>
      <x:c r="Q95" s="53" t="str"/>
      <x:c r="R95" s="53" t="str">
        <x:v>ef78a46e-bc18-447b-9f44-36f2b0d57879</x:v>
      </x:c>
      <x:c r="S95" s="56" t="str">
        <x:v>a498f0e3-24dd-444e-a624-b9ca3902d79a</x:v>
      </x:c>
    </x:row>
    <x:row r="96">
      <x:c r="A96" s="52" t="str">
        <x:v>Sườn cốt lết-thành phẩm</x:v>
      </x:c>
      <x:c r="B96" s="53" t="str">
        <x:v>Có</x:v>
      </x:c>
      <x:c r="C96" s="53" t="str">
        <x:v>T006</x:v>
      </x:c>
      <x:c r="D96" s="53" t="str">
        <x:v>Thịt cốt lết-thành phẩm</x:v>
      </x:c>
      <x:c r="E96" s="54" t="n">
        <x:v>1</x:v>
      </x:c>
      <x:c r="F96" s="54" t="str">
        <x:v>kg</x:v>
      </x:c>
      <x:c r="G96" s="54" t="str">
        <x:v>GV13</x:v>
      </x:c>
      <x:c r="H96" s="54" t="str">
        <x:v>Tiêu</x:v>
      </x:c>
      <x:c r="I96" s="54" t="str">
        <x:v>Gia vị</x:v>
      </x:c>
      <x:c r="J96" s="54" t="n">
        <x:v>2.5</x:v>
      </x:c>
      <x:c r="K96" s="54" t="str">
        <x:v>g</x:v>
      </x:c>
      <x:c r="L96" s="55" t="n">
        <x:f>IFERROR(INDEX('Tổng'!$L$7:$L$113,MATCH(G96,'Tổng'!$A$7:$A$113,0)),0)</x:f>
        <x:v>210</x:v>
      </x:c>
      <x:c r="M96" s="55" t="n">
        <x:f>J96*L96</x:f>
        <x:v>525</x:v>
      </x:c>
      <x:c r="N96" s="55" t="n">
        <x:f>SUMIF($A$7:$A$108,A96,$M$7:$M$108)</x:f>
        <x:v>134800.35660911072</x:v>
      </x:c>
      <x:c r="O96" s="55" t="n">
        <x:f>IF(E96&gt;0,N96/E96,0)</x:f>
        <x:v>134800.35660911072</x:v>
      </x:c>
      <x:c r="P96" s="53" t="str">
        <x:v>2026-06-23 04:14:38</x:v>
      </x:c>
      <x:c r="Q96" s="53" t="str"/>
      <x:c r="R96" s="53" t="str">
        <x:v>ef78a46e-bc18-447b-9f44-36f2b0d57879</x:v>
      </x:c>
      <x:c r="S96" s="56" t="str">
        <x:v>821f120f-1ea0-4da2-a383-fdd3e5e50493</x:v>
      </x:c>
    </x:row>
    <x:row r="97">
      <x:c r="A97" s="52" t="str">
        <x:v>Sườn cốt lết-thành phẩm</x:v>
      </x:c>
      <x:c r="B97" s="53" t="str">
        <x:v>Có</x:v>
      </x:c>
      <x:c r="C97" s="53" t="str">
        <x:v>T006</x:v>
      </x:c>
      <x:c r="D97" s="53" t="str">
        <x:v>Thịt cốt lết-thành phẩm</x:v>
      </x:c>
      <x:c r="E97" s="54" t="n">
        <x:v>1</x:v>
      </x:c>
      <x:c r="F97" s="54" t="str">
        <x:v>kg</x:v>
      </x:c>
      <x:c r="G97" s="54" t="str">
        <x:v>GV14</x:v>
      </x:c>
      <x:c r="H97" s="54" t="str">
        <x:v>Bột năng</x:v>
      </x:c>
      <x:c r="I97" s="54" t="str">
        <x:v>Gia vị</x:v>
      </x:c>
      <x:c r="J97" s="54" t="n">
        <x:v>10</x:v>
      </x:c>
      <x:c r="K97" s="54" t="str">
        <x:v>g</x:v>
      </x:c>
      <x:c r="L97" s="55" t="n">
        <x:f>IFERROR(INDEX('Tổng'!$L$7:$L$113,MATCH(G97,'Tổng'!$A$7:$A$113,0)),0)</x:f>
        <x:v>22.416722778766033</x:v>
      </x:c>
      <x:c r="M97" s="55" t="n">
        <x:f>J97*L97</x:f>
        <x:v>224.16722778766032</x:v>
      </x:c>
      <x:c r="N97" s="55" t="n">
        <x:f>SUMIF($A$7:$A$108,A97,$M$7:$M$108)</x:f>
        <x:v>134800.35660911072</x:v>
      </x:c>
      <x:c r="O97" s="55" t="n">
        <x:f>IF(E97&gt;0,N97/E97,0)</x:f>
        <x:v>134800.35660911072</x:v>
      </x:c>
      <x:c r="P97" s="53" t="str">
        <x:v>2026-06-23 04:14:38</x:v>
      </x:c>
      <x:c r="Q97" s="53" t="str"/>
      <x:c r="R97" s="53" t="str">
        <x:v>ef78a46e-bc18-447b-9f44-36f2b0d57879</x:v>
      </x:c>
      <x:c r="S97" s="56" t="str">
        <x:v>b4098bfa-dee2-4aac-832f-e790cf4225d2</x:v>
      </x:c>
    </x:row>
    <x:row r="98">
      <x:c r="A98" s="52" t="str">
        <x:v>Sườn cốt lết-thành phẩm</x:v>
      </x:c>
      <x:c r="B98" s="53" t="str">
        <x:v>Có</x:v>
      </x:c>
      <x:c r="C98" s="53" t="str">
        <x:v>T006</x:v>
      </x:c>
      <x:c r="D98" s="53" t="str">
        <x:v>Thịt cốt lết-thành phẩm</x:v>
      </x:c>
      <x:c r="E98" s="54" t="n">
        <x:v>1</x:v>
      </x:c>
      <x:c r="F98" s="54" t="str">
        <x:v>kg</x:v>
      </x:c>
      <x:c r="G98" s="54" t="str">
        <x:v>R004</x:v>
      </x:c>
      <x:c r="H98" s="54" t="str">
        <x:v>Sả</x:v>
      </x:c>
      <x:c r="I98" s="54" t="str">
        <x:v>Rau, củ</x:v>
      </x:c>
      <x:c r="J98" s="54" t="n">
        <x:v>15</x:v>
      </x:c>
      <x:c r="K98" s="54" t="str">
        <x:v>g</x:v>
      </x:c>
      <x:c r="L98" s="55" t="n">
        <x:f>IFERROR(INDEX('Tổng'!$L$7:$L$113,MATCH(G98,'Tổng'!$A$7:$A$113,0)),0)</x:f>
        <x:v>20</x:v>
      </x:c>
      <x:c r="M98" s="55" t="n">
        <x:f>J98*L98</x:f>
        <x:v>300</x:v>
      </x:c>
      <x:c r="N98" s="55" t="n">
        <x:f>SUMIF($A$7:$A$108,A98,$M$7:$M$108)</x:f>
        <x:v>134800.35660911072</x:v>
      </x:c>
      <x:c r="O98" s="55" t="n">
        <x:f>IF(E98&gt;0,N98/E98,0)</x:f>
        <x:v>134800.35660911072</x:v>
      </x:c>
      <x:c r="P98" s="53" t="str">
        <x:v>2026-06-23 04:14:38</x:v>
      </x:c>
      <x:c r="Q98" s="53" t="str"/>
      <x:c r="R98" s="53" t="str">
        <x:v>ef78a46e-bc18-447b-9f44-36f2b0d57879</x:v>
      </x:c>
      <x:c r="S98" s="56" t="str">
        <x:v>10ad0816-a417-43db-b97c-73ff76329f80</x:v>
      </x:c>
    </x:row>
    <x:row r="99">
      <x:c r="A99" s="52" t="str">
        <x:v>Thịt ba rọi-thành phẩm</x:v>
      </x:c>
      <x:c r="B99" s="53" t="str">
        <x:v>Có</x:v>
      </x:c>
      <x:c r="C99" s="53" t="str">
        <x:v>T008</x:v>
      </x:c>
      <x:c r="D99" s="53" t="str">
        <x:v>Ba rọi-thành phẩm</x:v>
      </x:c>
      <x:c r="E99" s="54" t="n">
        <x:v>1</x:v>
      </x:c>
      <x:c r="F99" s="54" t="str">
        <x:v>kg</x:v>
      </x:c>
      <x:c r="G99" s="54" t="str">
        <x:v>R001</x:v>
      </x:c>
      <x:c r="H99" s="54" t="str">
        <x:v>Hành tím</x:v>
      </x:c>
      <x:c r="I99" s="54" t="str">
        <x:v>Rau, củ</x:v>
      </x:c>
      <x:c r="J99" s="54" t="n">
        <x:v>20</x:v>
      </x:c>
      <x:c r="K99" s="54" t="str">
        <x:v>g</x:v>
      </x:c>
      <x:c r="L99" s="55" t="n">
        <x:f>IFERROR(INDEX('Tổng'!$L$7:$L$113,MATCH(G99,'Tổng'!$A$7:$A$113,0)),0)</x:f>
        <x:v>17</x:v>
      </x:c>
      <x:c r="M99" s="55" t="n">
        <x:f>J99*L99</x:f>
        <x:v>340</x:v>
      </x:c>
      <x:c r="N99" s="55" t="n">
        <x:f>SUMIF($A$7:$A$108,A99,$M$7:$M$108)</x:f>
        <x:v>139204.1</x:v>
      </x:c>
      <x:c r="O99" s="55" t="n">
        <x:f>IF(E99&gt;0,N99/E99,0)</x:f>
        <x:v>139204.1</x:v>
      </x:c>
      <x:c r="P99" s="53" t="str">
        <x:v>2026-06-12 04:55:50</x:v>
      </x:c>
      <x:c r="Q99" s="53" t="str"/>
      <x:c r="R99" s="53" t="str">
        <x:v>b72d8bd9-ca90-4731-8cc3-cc701f4facc9</x:v>
      </x:c>
      <x:c r="S99" s="56" t="str">
        <x:v>a498f0e3-24dd-444e-a624-b9ca3902d79a</x:v>
      </x:c>
    </x:row>
    <x:row r="100">
      <x:c r="A100" s="52" t="str">
        <x:v>Thịt ba rọi-thành phẩm</x:v>
      </x:c>
      <x:c r="B100" s="53" t="str">
        <x:v>Có</x:v>
      </x:c>
      <x:c r="C100" s="53" t="str">
        <x:v>T008</x:v>
      </x:c>
      <x:c r="D100" s="53" t="str">
        <x:v>Ba rọi-thành phẩm</x:v>
      </x:c>
      <x:c r="E100" s="54" t="n">
        <x:v>1</x:v>
      </x:c>
      <x:c r="F100" s="54" t="str">
        <x:v>kg</x:v>
      </x:c>
      <x:c r="G100" s="54" t="str">
        <x:v>GV10</x:v>
      </x:c>
      <x:c r="H100" s="54" t="str">
        <x:v>Bột màu gạch tôm</x:v>
      </x:c>
      <x:c r="I100" s="54" t="str">
        <x:v>Gia vị</x:v>
      </x:c>
      <x:c r="J100" s="54" t="n">
        <x:v>10</x:v>
      </x:c>
      <x:c r="K100" s="54" t="str">
        <x:v>g</x:v>
      </x:c>
      <x:c r="L100" s="55" t="n">
        <x:f>IFERROR(INDEX('Tổng'!$L$7:$L$113,MATCH(G100,'Tổng'!$A$7:$A$113,0)),0)</x:f>
        <x:v>180</x:v>
      </x:c>
      <x:c r="M100" s="55" t="n">
        <x:f>J100*L100</x:f>
        <x:v>1800</x:v>
      </x:c>
      <x:c r="N100" s="55" t="n">
        <x:f>SUMIF($A$7:$A$108,A100,$M$7:$M$108)</x:f>
        <x:v>139204.1</x:v>
      </x:c>
      <x:c r="O100" s="55" t="n">
        <x:f>IF(E100&gt;0,N100/E100,0)</x:f>
        <x:v>139204.1</x:v>
      </x:c>
      <x:c r="P100" s="53" t="str">
        <x:v>2026-06-12 04:55:50</x:v>
      </x:c>
      <x:c r="Q100" s="53" t="str"/>
      <x:c r="R100" s="53" t="str">
        <x:v>b72d8bd9-ca90-4731-8cc3-cc701f4facc9</x:v>
      </x:c>
      <x:c r="S100" s="56" t="str">
        <x:v>f98bb307-9a72-4063-9777-a8a1a5797cb2</x:v>
      </x:c>
    </x:row>
    <x:row r="101">
      <x:c r="A101" s="52" t="str">
        <x:v>Thịt ba rọi-thành phẩm</x:v>
      </x:c>
      <x:c r="B101" s="53" t="str">
        <x:v>Có</x:v>
      </x:c>
      <x:c r="C101" s="53" t="str">
        <x:v>T008</x:v>
      </x:c>
      <x:c r="D101" s="53" t="str">
        <x:v>Ba rọi-thành phẩm</x:v>
      </x:c>
      <x:c r="E101" s="54" t="n">
        <x:v>1</x:v>
      </x:c>
      <x:c r="F101" s="54" t="str">
        <x:v>kg</x:v>
      </x:c>
      <x:c r="G101" s="54" t="str">
        <x:v>D001</x:v>
      </x:c>
      <x:c r="H101" s="54" t="str">
        <x:v>Dầu ăn Tường An</x:v>
      </x:c>
      <x:c r="I101" s="54" t="str">
        <x:v>Dầu</x:v>
      </x:c>
      <x:c r="J101" s="54" t="n">
        <x:v>100</x:v>
      </x:c>
      <x:c r="K101" s="54" t="str">
        <x:v>ml</x:v>
      </x:c>
      <x:c r="L101" s="55" t="n">
        <x:f>IFERROR(INDEX('Tổng'!$L$7:$L$113,MATCH(G101,'Tổng'!$A$7:$A$113,0)),0)</x:f>
        <x:v>46.5</x:v>
      </x:c>
      <x:c r="M101" s="55" t="n">
        <x:f>J101*L101</x:f>
        <x:v>4650</x:v>
      </x:c>
      <x:c r="N101" s="55" t="n">
        <x:f>SUMIF($A$7:$A$108,A101,$M$7:$M$108)</x:f>
        <x:v>139204.1</x:v>
      </x:c>
      <x:c r="O101" s="55" t="n">
        <x:f>IF(E101&gt;0,N101/E101,0)</x:f>
        <x:v>139204.1</x:v>
      </x:c>
      <x:c r="P101" s="53" t="str">
        <x:v>2026-06-12 04:55:50</x:v>
      </x:c>
      <x:c r="Q101" s="53" t="str"/>
      <x:c r="R101" s="53" t="str">
        <x:v>b72d8bd9-ca90-4731-8cc3-cc701f4facc9</x:v>
      </x:c>
      <x:c r="S101" s="56" t="str">
        <x:v>8d1bb57f-a1d0-45b4-9053-99a54bafe9fb</x:v>
      </x:c>
    </x:row>
    <x:row r="102">
      <x:c r="A102" s="52" t="str">
        <x:v>Thịt ba rọi-thành phẩm</x:v>
      </x:c>
      <x:c r="B102" s="53" t="str">
        <x:v>Có</x:v>
      </x:c>
      <x:c r="C102" s="53" t="str">
        <x:v>T008</x:v>
      </x:c>
      <x:c r="D102" s="53" t="str">
        <x:v>Ba rọi-thành phẩm</x:v>
      </x:c>
      <x:c r="E102" s="54" t="n">
        <x:v>1</x:v>
      </x:c>
      <x:c r="F102" s="54" t="str">
        <x:v>kg</x:v>
      </x:c>
      <x:c r="G102" s="54" t="str">
        <x:v>GV13</x:v>
      </x:c>
      <x:c r="H102" s="54" t="str">
        <x:v>Tiêu</x:v>
      </x:c>
      <x:c r="I102" s="54" t="str">
        <x:v>Gia vị</x:v>
      </x:c>
      <x:c r="J102" s="54" t="n">
        <x:v>10</x:v>
      </x:c>
      <x:c r="K102" s="54" t="str">
        <x:v>g</x:v>
      </x:c>
      <x:c r="L102" s="55" t="n">
        <x:f>IFERROR(INDEX('Tổng'!$L$7:$L$113,MATCH(G102,'Tổng'!$A$7:$A$113,0)),0)</x:f>
        <x:v>210</x:v>
      </x:c>
      <x:c r="M102" s="55" t="n">
        <x:f>J102*L102</x:f>
        <x:v>2100</x:v>
      </x:c>
      <x:c r="N102" s="55" t="n">
        <x:f>SUMIF($A$7:$A$108,A102,$M$7:$M$108)</x:f>
        <x:v>139204.1</x:v>
      </x:c>
      <x:c r="O102" s="55" t="n">
        <x:f>IF(E102&gt;0,N102/E102,0)</x:f>
        <x:v>139204.1</x:v>
      </x:c>
      <x:c r="P102" s="53" t="str">
        <x:v>2026-06-12 04:55:50</x:v>
      </x:c>
      <x:c r="Q102" s="53" t="str"/>
      <x:c r="R102" s="53" t="str">
        <x:v>b72d8bd9-ca90-4731-8cc3-cc701f4facc9</x:v>
      </x:c>
      <x:c r="S102" s="56" t="str">
        <x:v>821f120f-1ea0-4da2-a383-fdd3e5e50493</x:v>
      </x:c>
    </x:row>
    <x:row r="103">
      <x:c r="A103" s="52" t="str">
        <x:v>Thịt ba rọi-thành phẩm</x:v>
      </x:c>
      <x:c r="B103" s="53" t="str">
        <x:v>Có</x:v>
      </x:c>
      <x:c r="C103" s="53" t="str">
        <x:v>T008</x:v>
      </x:c>
      <x:c r="D103" s="53" t="str">
        <x:v>Ba rọi-thành phẩm</x:v>
      </x:c>
      <x:c r="E103" s="54" t="n">
        <x:v>1</x:v>
      </x:c>
      <x:c r="F103" s="54" t="str">
        <x:v>kg</x:v>
      </x:c>
      <x:c r="G103" s="54" t="str">
        <x:v>GV04</x:v>
      </x:c>
      <x:c r="H103" s="54" t="str">
        <x:v>Đường cát vàng Mỹ Tho</x:v>
      </x:c>
      <x:c r="I103" s="54" t="str">
        <x:v>Gia vị</x:v>
      </x:c>
      <x:c r="J103" s="54" t="n">
        <x:v>20</x:v>
      </x:c>
      <x:c r="K103" s="54" t="str">
        <x:v>g</x:v>
      </x:c>
      <x:c r="L103" s="55" t="n">
        <x:f>IFERROR(INDEX('Tổng'!$L$7:$L$113,MATCH(G103,'Tổng'!$A$7:$A$113,0)),0)</x:f>
        <x:v>21.667</x:v>
      </x:c>
      <x:c r="M103" s="55" t="n">
        <x:f>J103*L103</x:f>
        <x:v>433.34000000000003</x:v>
      </x:c>
      <x:c r="N103" s="55" t="n">
        <x:f>SUMIF($A$7:$A$108,A103,$M$7:$M$108)</x:f>
        <x:v>139204.1</x:v>
      </x:c>
      <x:c r="O103" s="55" t="n">
        <x:f>IF(E103&gt;0,N103/E103,0)</x:f>
        <x:v>139204.1</x:v>
      </x:c>
      <x:c r="P103" s="53" t="str">
        <x:v>2026-06-12 04:55:50</x:v>
      </x:c>
      <x:c r="Q103" s="53" t="str"/>
      <x:c r="R103" s="53" t="str">
        <x:v>b72d8bd9-ca90-4731-8cc3-cc701f4facc9</x:v>
      </x:c>
      <x:c r="S103" s="56" t="str">
        <x:v>df7a19b8-12ab-4f20-9aca-4d68e94a57be</x:v>
      </x:c>
    </x:row>
    <x:row r="104">
      <x:c r="A104" s="52" t="str">
        <x:v>Thịt ba rọi-thành phẩm</x:v>
      </x:c>
      <x:c r="B104" s="53" t="str">
        <x:v>Có</x:v>
      </x:c>
      <x:c r="C104" s="53" t="str">
        <x:v>T008</x:v>
      </x:c>
      <x:c r="D104" s="53" t="str">
        <x:v>Ba rọi-thành phẩm</x:v>
      </x:c>
      <x:c r="E104" s="54" t="n">
        <x:v>1</x:v>
      </x:c>
      <x:c r="F104" s="54" t="str">
        <x:v>kg</x:v>
      </x:c>
      <x:c r="G104" s="54" t="str">
        <x:v>NM50</x:v>
      </x:c>
      <x:c r="H104" s="54" t="str">
        <x:v>Nước mắm Hạnh Phúc 50</x:v>
      </x:c>
      <x:c r="I104" s="54" t="str">
        <x:v>Gia vị</x:v>
      </x:c>
      <x:c r="J104" s="54" t="n">
        <x:v>20</x:v>
      </x:c>
      <x:c r="K104" s="54" t="str">
        <x:v>ml</x:v>
      </x:c>
      <x:c r="L104" s="55" t="n">
        <x:f>IFERROR(INDEX('Tổng'!$L$7:$L$113,MATCH(G104,'Tổng'!$A$7:$A$113,0)),0)</x:f>
        <x:v>234.03799999999998</x:v>
      </x:c>
      <x:c r="M104" s="55" t="n">
        <x:f>J104*L104</x:f>
        <x:v>4680.759999999999</x:v>
      </x:c>
      <x:c r="N104" s="55" t="n">
        <x:f>SUMIF($A$7:$A$108,A104,$M$7:$M$108)</x:f>
        <x:v>139204.1</x:v>
      </x:c>
      <x:c r="O104" s="55" t="n">
        <x:f>IF(E104&gt;0,N104/E104,0)</x:f>
        <x:v>139204.1</x:v>
      </x:c>
      <x:c r="P104" s="53" t="str">
        <x:v>2026-06-12 04:55:50</x:v>
      </x:c>
      <x:c r="Q104" s="53" t="str"/>
      <x:c r="R104" s="53" t="str">
        <x:v>b72d8bd9-ca90-4731-8cc3-cc701f4facc9</x:v>
      </x:c>
      <x:c r="S104" s="56" t="str">
        <x:v>d2923357-be91-4b31-b6e2-0969ce591ce4</x:v>
      </x:c>
    </x:row>
    <x:row r="105">
      <x:c r="A105" s="52" t="str">
        <x:v>Thịt ba rọi-thành phẩm</x:v>
      </x:c>
      <x:c r="B105" s="53" t="str">
        <x:v>Có</x:v>
      </x:c>
      <x:c r="C105" s="53" t="str">
        <x:v>T008</x:v>
      </x:c>
      <x:c r="D105" s="53" t="str">
        <x:v>Ba rọi-thành phẩm</x:v>
      </x:c>
      <x:c r="E105" s="54" t="n">
        <x:v>1</x:v>
      </x:c>
      <x:c r="F105" s="54" t="str">
        <x:v>kg</x:v>
      </x:c>
      <x:c r="G105" s="54" t="str">
        <x:v>GV06</x:v>
      </x:c>
      <x:c r="H105" s="54" t="str">
        <x:v>Muối</x:v>
      </x:c>
      <x:c r="I105" s="54" t="str">
        <x:v>Gia vị</x:v>
      </x:c>
      <x:c r="J105" s="54" t="n">
        <x:v>20</x:v>
      </x:c>
      <x:c r="K105" s="54" t="str">
        <x:v>g</x:v>
      </x:c>
      <x:c r="L105" s="55" t="n">
        <x:f>IFERROR(INDEX('Tổng'!$L$7:$L$113,MATCH(G105,'Tổng'!$A$7:$A$113,0)),0)</x:f>
        <x:v>10</x:v>
      </x:c>
      <x:c r="M105" s="55" t="n">
        <x:f>J105*L105</x:f>
        <x:v>200</x:v>
      </x:c>
      <x:c r="N105" s="55" t="n">
        <x:f>SUMIF($A$7:$A$108,A105,$M$7:$M$108)</x:f>
        <x:v>139204.1</x:v>
      </x:c>
      <x:c r="O105" s="55" t="n">
        <x:f>IF(E105&gt;0,N105/E105,0)</x:f>
        <x:v>139204.1</x:v>
      </x:c>
      <x:c r="P105" s="53" t="str">
        <x:v>2026-06-12 04:55:50</x:v>
      </x:c>
      <x:c r="Q105" s="53" t="str"/>
      <x:c r="R105" s="53" t="str">
        <x:v>b72d8bd9-ca90-4731-8cc3-cc701f4facc9</x:v>
      </x:c>
      <x:c r="S105" s="56" t="str">
        <x:v>6e7d837f-594a-4ce7-a869-39bdc38e8784</x:v>
      </x:c>
    </x:row>
    <x:row r="106">
      <x:c r="A106" s="52" t="str">
        <x:v>Thịt ba rọi-thành phẩm</x:v>
      </x:c>
      <x:c r="B106" s="53" t="str">
        <x:v>Có</x:v>
      </x:c>
      <x:c r="C106" s="53" t="str">
        <x:v>T008</x:v>
      </x:c>
      <x:c r="D106" s="53" t="str">
        <x:v>Ba rọi-thành phẩm</x:v>
      </x:c>
      <x:c r="E106" s="54" t="n">
        <x:v>1</x:v>
      </x:c>
      <x:c r="F106" s="54" t="str">
        <x:v>kg</x:v>
      </x:c>
      <x:c r="G106" s="54" t="str">
        <x:v>T003</x:v>
      </x:c>
      <x:c r="H106" s="54" t="str">
        <x:v>Ba rọi-tươi</x:v>
      </x:c>
      <x:c r="I106" s="54" t="str">
        <x:v>Thịt</x:v>
      </x:c>
      <x:c r="J106" s="54" t="n">
        <x:v>1</x:v>
      </x:c>
      <x:c r="K106" s="54" t="str">
        <x:v>kg</x:v>
      </x:c>
      <x:c r="L106" s="55" t="n">
        <x:f>IFERROR(INDEX('Tổng'!$L$7:$L$113,MATCH(G106,'Tổng'!$A$7:$A$113,0)),0)</x:f>
        <x:v>125000</x:v>
      </x:c>
      <x:c r="M106" s="55" t="n">
        <x:f>J106*L106</x:f>
        <x:v>125000</x:v>
      </x:c>
      <x:c r="N106" s="55" t="n">
        <x:f>SUMIF($A$7:$A$108,A106,$M$7:$M$108)</x:f>
        <x:v>139204.1</x:v>
      </x:c>
      <x:c r="O106" s="55" t="n">
        <x:f>IF(E106&gt;0,N106/E106,0)</x:f>
        <x:v>139204.1</x:v>
      </x:c>
      <x:c r="P106" s="53" t="str">
        <x:v>2026-06-12 04:55:50</x:v>
      </x:c>
      <x:c r="Q106" s="53" t="str"/>
      <x:c r="R106" s="53" t="str">
        <x:v>b72d8bd9-ca90-4731-8cc3-cc701f4facc9</x:v>
      </x:c>
      <x:c r="S106" s="56" t="str">
        <x:v>af298811-ba6f-46c1-8008-85ecbc8dde4c</x:v>
      </x:c>
    </x:row>
    <x:row r="107">
      <x:c r="A107" s="52" t="str">
        <x:v>Trà-Thành Phẩm</x:v>
      </x:c>
      <x:c r="B107" s="53" t="str">
        <x:v>Có</x:v>
      </x:c>
      <x:c r="C107" s="53" t="str">
        <x:v>TR03</x:v>
      </x:c>
      <x:c r="D107" s="53" t="str">
        <x:v>Trà-Thành Phẩm</x:v>
      </x:c>
      <x:c r="E107" s="54" t="n">
        <x:v>1</x:v>
      </x:c>
      <x:c r="F107" s="54" t="str">
        <x:v>lit</x:v>
      </x:c>
      <x:c r="G107" s="54" t="str">
        <x:v>TR02</x:v>
      </x:c>
      <x:c r="H107" s="54" t="str">
        <x:v>Trà  Nhãn Vàng</x:v>
      </x:c>
      <x:c r="I107" s="54" t="str"/>
      <x:c r="J107" s="54" t="n">
        <x:v>25</x:v>
      </x:c>
      <x:c r="K107" s="54" t="str">
        <x:v>goi</x:v>
      </x:c>
      <x:c r="L107" s="55" t="n">
        <x:f>IFERROR(INDEX('Tổng'!$L$7:$L$113,MATCH(G107,'Tổng'!$A$7:$A$113,0)),0)</x:f>
        <x:v>800</x:v>
      </x:c>
      <x:c r="M107" s="55" t="n">
        <x:f>J107*L107</x:f>
        <x:v>20000</x:v>
      </x:c>
      <x:c r="N107" s="55" t="n">
        <x:f>SUMIF($A$7:$A$108,A107,$M$7:$M$108)</x:f>
        <x:v>52500.5</x:v>
      </x:c>
      <x:c r="O107" s="55" t="n">
        <x:f>IF(E107&gt;0,N107/E107,0)</x:f>
        <x:v>52500.5</x:v>
      </x:c>
      <x:c r="P107" s="53" t="str">
        <x:v>2026-05-25 13:32:55</x:v>
      </x:c>
      <x:c r="Q107" s="53" t="str"/>
      <x:c r="R107" s="53" t="str">
        <x:v>36650568-f51b-4002-af69-67a53c56f34a</x:v>
      </x:c>
      <x:c r="S107" s="56" t="str">
        <x:v>988ee9ea-9708-4117-b462-df01c9b60e35</x:v>
      </x:c>
    </x:row>
    <x:row r="108">
      <x:c r="A108" s="57" t="str">
        <x:v>Trà-Thành Phẩm</x:v>
      </x:c>
      <x:c r="B108" s="58" t="str">
        <x:v>Có</x:v>
      </x:c>
      <x:c r="C108" s="58" t="str">
        <x:v>TR03</x:v>
      </x:c>
      <x:c r="D108" s="58" t="str">
        <x:v>Trà-Thành Phẩm</x:v>
      </x:c>
      <x:c r="E108" s="59" t="n">
        <x:v>1</x:v>
      </x:c>
      <x:c r="F108" s="59" t="str">
        <x:v>lit</x:v>
      </x:c>
      <x:c r="G108" s="59" t="str">
        <x:v>GV04</x:v>
      </x:c>
      <x:c r="H108" s="59" t="str">
        <x:v>Đường cát vàng Mỹ Tho</x:v>
      </x:c>
      <x:c r="I108" s="59" t="str">
        <x:v>Gia vị</x:v>
      </x:c>
      <x:c r="J108" s="59" t="n">
        <x:v>1500</x:v>
      </x:c>
      <x:c r="K108" s="59" t="str">
        <x:v>g</x:v>
      </x:c>
      <x:c r="L108" s="60" t="n">
        <x:f>IFERROR(INDEX('Tổng'!$L$7:$L$113,MATCH(G108,'Tổng'!$A$7:$A$113,0)),0)</x:f>
        <x:v>21.667</x:v>
      </x:c>
      <x:c r="M108" s="60" t="n">
        <x:f>J108*L108</x:f>
        <x:v>32500.500000000004</x:v>
      </x:c>
      <x:c r="N108" s="60" t="n">
        <x:f>SUMIF($A$7:$A$108,A108,$M$7:$M$108)</x:f>
        <x:v>52500.5</x:v>
      </x:c>
      <x:c r="O108" s="60" t="n">
        <x:f>IF(E108&gt;0,N108/E108,0)</x:f>
        <x:v>52500.5</x:v>
      </x:c>
      <x:c r="P108" s="58" t="str">
        <x:v>2026-05-25 13:32:55</x:v>
      </x:c>
      <x:c r="Q108" s="58" t="str"/>
      <x:c r="R108" s="58" t="str">
        <x:v>36650568-f51b-4002-af69-67a53c56f34a</x:v>
      </x:c>
      <x:c r="S108" s="61" t="str">
        <x:v>df7a19b8-12ab-4f20-9aca-4d68e94a57be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d4fc40f2fedc4c57"/>
  </x:tableParts>
</x:worksheet>
</file>